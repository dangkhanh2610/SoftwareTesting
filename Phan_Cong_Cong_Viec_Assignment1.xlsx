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 &amp; Nhân sự" sheetId="1" state="visible" r:id="rId1"/>
    <sheet xmlns:r="http://schemas.openxmlformats.org/officeDocument/2006/relationships" name="Phân công chi tiết" sheetId="2" state="visible" r:id="rId2"/>
    <sheet xmlns:r="http://schemas.openxmlformats.org/officeDocument/2006/relationships" name="Nhiệm vụ từng thành viên" sheetId="3" state="visible" r:id="rId3"/>
    <sheet xmlns:r="http://schemas.openxmlformats.org/officeDocument/2006/relationships" name="Checklist nghiệm thu bài nộ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i val="1"/>
      <color rgb="004B5563"/>
      <sz val="11"/>
    </font>
    <font>
      <name val="Segoe UI"/>
      <i val="1"/>
      <color rgb="006B7280"/>
      <sz val="9"/>
    </font>
    <font>
      <name val="Segoe UI"/>
      <b val="1"/>
      <color rgb="001E3A8A"/>
      <sz val="12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3B82F6"/>
        <bgColor rgb="003B82F6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3A8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164" fontId="7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 wrapText="1"/>
    </xf>
    <xf numFmtId="164" fontId="7" fillId="5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164" fontId="7" fillId="6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29" customWidth="1" min="3" max="3"/>
    <col width="44" customWidth="1" min="4" max="4"/>
    <col width="30" customWidth="1" min="5" max="5"/>
    <col width="41" customWidth="1" min="6" max="6"/>
    <col width="48" customWidth="1" min="7" max="7"/>
    <col width="25" customWidth="1" min="8" max="8"/>
  </cols>
  <sheetData>
    <row r="1">
      <c r="A1" s="1" t="inlineStr">
        <is>
          <t>BẢNG QUẢN LÝ VÀ PHÂN CÔNG CÔNG VIỆC NHÓM</t>
        </is>
      </c>
    </row>
    <row r="2">
      <c r="A2" s="2" t="inlineStr">
        <is>
          <t>Assignment 1 - Kiểm Thử Hộp Đen &amp; Tự Động Hóa Web với JUnit 5 (SauceDemo)</t>
        </is>
      </c>
    </row>
    <row r="3">
      <c r="A3" s="3" t="inlineStr">
        <is>
          <t>Học phần: Kiểm thử phần mềm | GVHD: Từ Lãng Phiêu | Trường Đại học Sài Gòn</t>
        </is>
      </c>
    </row>
    <row r="4"/>
    <row r="5">
      <c r="A5" s="4" t="inlineStr">
        <is>
          <t>1. THÔNG TIN THÀNH VIÊN &amp; VAI TRÒ CHÍNH</t>
        </is>
      </c>
    </row>
    <row r="6">
      <c r="A6" s="5" t="inlineStr">
        <is>
          <t>STT</t>
        </is>
      </c>
      <c r="B6" s="5" t="inlineStr">
        <is>
          <t>Mã TV</t>
        </is>
      </c>
      <c r="C6" s="5" t="inlineStr">
        <is>
          <t>Họ và tên</t>
        </is>
      </c>
      <c r="D6" s="5" t="inlineStr">
        <is>
          <t>MSSV</t>
        </is>
      </c>
      <c r="E6" s="5" t="inlineStr">
        <is>
          <t>Vai trò chính</t>
        </is>
      </c>
      <c r="F6" s="5" t="inlineStr">
        <is>
          <t>Module đảm nhiệm chính</t>
        </is>
      </c>
      <c r="G6" s="5" t="inlineStr">
        <is>
          <t>Trọng tâm kỹ thuật</t>
        </is>
      </c>
      <c r="H6" s="5" t="inlineStr">
        <is>
          <t>Tỷ lệ đóng góp dự kiến</t>
        </is>
      </c>
    </row>
    <row r="7">
      <c r="A7" s="6" t="n">
        <v>1</v>
      </c>
      <c r="B7" s="7" t="inlineStr">
        <is>
          <t>TV1</t>
        </is>
      </c>
      <c r="C7" s="8" t="inlineStr">
        <is>
          <t>Thành viên 1 (Nhóm trưởng)</t>
        </is>
      </c>
      <c r="D7" s="6" t="inlineStr">
        <is>
          <t>3123xxxx01</t>
        </is>
      </c>
      <c r="E7" s="9" t="inlineStr">
        <is>
          <t>Test Lead &amp; Core Automation</t>
        </is>
      </c>
      <c r="F7" s="9" t="inlineStr">
        <is>
          <t>FR-01 (Đăng nhập) &amp; Khởi tạo NV1</t>
        </is>
      </c>
      <c r="G7" s="9" t="inlineStr">
        <is>
          <t>Setup Base, LoginPage, LoginTest, Báo cáo PDF (LaTeX)</t>
        </is>
      </c>
      <c r="H7" s="6" t="inlineStr">
        <is>
          <t>20%</t>
        </is>
      </c>
    </row>
    <row r="8">
      <c r="A8" s="10" t="n">
        <v>2</v>
      </c>
      <c r="B8" s="11" t="inlineStr">
        <is>
          <t>TV2</t>
        </is>
      </c>
      <c r="C8" s="12" t="inlineStr">
        <is>
          <t>Thành viên 2</t>
        </is>
      </c>
      <c r="D8" s="10" t="inlineStr">
        <is>
          <t>3123xxxx02</t>
        </is>
      </c>
      <c r="E8" s="13" t="inlineStr">
        <is>
          <t>QA &amp; Automation Engineer</t>
        </is>
      </c>
      <c r="F8" s="13" t="inlineStr">
        <is>
          <t>FR-02 (Giỏ hàng &amp; Badge)</t>
        </is>
      </c>
      <c r="G8" s="13" t="inlineStr">
        <is>
          <t>BVA số lượng [0,6], InventoryPage, CartTest</t>
        </is>
      </c>
      <c r="H8" s="10" t="inlineStr">
        <is>
          <t>20%</t>
        </is>
      </c>
    </row>
    <row r="9">
      <c r="A9" s="6" t="n">
        <v>3</v>
      </c>
      <c r="B9" s="7" t="inlineStr">
        <is>
          <t>TV3</t>
        </is>
      </c>
      <c r="C9" s="8" t="inlineStr">
        <is>
          <t>Thành viên 3</t>
        </is>
      </c>
      <c r="D9" s="6" t="inlineStr">
        <is>
          <t>3123xxxx03</t>
        </is>
      </c>
      <c r="E9" s="9" t="inlineStr">
        <is>
          <t>QA &amp; Automation Engineer</t>
        </is>
      </c>
      <c r="F9" s="9" t="inlineStr">
        <is>
          <t>FR-03 (Thanh toán - Use Case)</t>
        </is>
      </c>
      <c r="G9" s="9" t="inlineStr">
        <is>
          <t>Use Case 1 (Activity Diagram, TC-CHK-01..05), CartPage, CheckoutPage</t>
        </is>
      </c>
      <c r="H9" s="6" t="inlineStr">
        <is>
          <t>20%</t>
        </is>
      </c>
    </row>
    <row r="10">
      <c r="A10" s="10" t="n">
        <v>4</v>
      </c>
      <c r="B10" s="11" t="inlineStr">
        <is>
          <t>TV4</t>
        </is>
      </c>
      <c r="C10" s="12" t="inlineStr">
        <is>
          <t>Thành viên 4</t>
        </is>
      </c>
      <c r="D10" s="10" t="inlineStr">
        <is>
          <t>3123xxxx04</t>
        </is>
      </c>
      <c r="E10" s="13" t="inlineStr">
        <is>
          <t>QA &amp; Automation Engineer</t>
        </is>
      </c>
      <c r="F10" s="13" t="inlineStr">
        <is>
          <t>FR-04 (Sắp xếp) &amp; FR-03 (Thuế, DT)</t>
        </is>
      </c>
      <c r="G10" s="13" t="inlineStr">
        <is>
          <t>Decision Table form Checkout, BVA thuế 8%, SortTest (dynamic comparator)</t>
        </is>
      </c>
      <c r="H10" s="10" t="inlineStr">
        <is>
          <t>20%</t>
        </is>
      </c>
    </row>
    <row r="11">
      <c r="A11" s="6" t="n">
        <v>5</v>
      </c>
      <c r="B11" s="7" t="inlineStr">
        <is>
          <t>TV5</t>
        </is>
      </c>
      <c r="C11" s="8" t="inlineStr">
        <is>
          <t>Thành viên 5</t>
        </is>
      </c>
      <c r="D11" s="6" t="inlineStr">
        <is>
          <t>3123xxxx05</t>
        </is>
      </c>
      <c r="E11" s="9" t="inlineStr">
        <is>
          <t>QA Specialist &amp; Doc Lead</t>
        </is>
      </c>
      <c r="F11" s="9" t="inlineStr">
        <is>
          <t>NFR-01 (Hiệu năng) &amp; Quản lý TestCases</t>
        </is>
      </c>
      <c r="G11" s="9" t="inlineStr">
        <is>
          <t>Đo thời gian 5 lần, Bug Report BUG-01, PerformanceTest, Excel tổng hợp</t>
        </is>
      </c>
      <c r="H11" s="6" t="inlineStr">
        <is>
          <t>20%</t>
        </is>
      </c>
    </row>
    <row r="12"/>
    <row r="13">
      <c r="A13" s="4" t="inlineStr">
        <is>
          <t>2. TIẾN ĐỘ &amp; THỐNG KÊ CÔNG VIỆC</t>
        </is>
      </c>
    </row>
    <row r="14">
      <c r="A14" s="14" t="inlineStr">
        <is>
          <t>Chỉ số công việc</t>
        </is>
      </c>
      <c r="B14" s="14" t="inlineStr">
        <is>
          <t>Số lượng</t>
        </is>
      </c>
      <c r="C14" s="14" t="inlineStr">
        <is>
          <t>Tỷ lệ (%)</t>
        </is>
      </c>
      <c r="D14" s="14" t="inlineStr">
        <is>
          <t>Ghi chú theo dõi</t>
        </is>
      </c>
    </row>
    <row r="15">
      <c r="A15" s="8" t="inlineStr">
        <is>
          <t>Tổng số đầu việc (Tasks)</t>
        </is>
      </c>
      <c r="B15" s="7">
        <f>COUNTA('Phân công chi tiết'!A4:A35)</f>
        <v/>
      </c>
      <c r="C15" s="15" t="inlineStr">
        <is>
          <t>100%</t>
        </is>
      </c>
      <c r="D15" s="16" t="inlineStr">
        <is>
          <t>Toàn bộ đầu việc từ NV1 -&gt; NV5 &amp; Đóng gói</t>
        </is>
      </c>
    </row>
    <row r="16">
      <c r="A16" s="8" t="inlineStr">
        <is>
          <t>Chưa bắt đầu</t>
        </is>
      </c>
      <c r="B16" s="17">
        <f>COUNTIF('Phân công chi tiết'!I4:I35, "Chưa bắt đầu")</f>
        <v/>
      </c>
      <c r="C16" s="18">
        <f>B16/B15</f>
        <v/>
      </c>
      <c r="D16" s="16" t="inlineStr">
        <is>
          <t>Đang chờ phân bổ hoặc chuẩn bị</t>
        </is>
      </c>
    </row>
    <row r="17">
      <c r="A17" s="8" t="inlineStr">
        <is>
          <t>Đang thực hiện</t>
        </is>
      </c>
      <c r="B17" s="7">
        <f>COUNTIF('Phân công chi tiết'!I4:I35, "Đang thực hiện")</f>
        <v/>
      </c>
      <c r="C17" s="15">
        <f>B17/B15</f>
        <v/>
      </c>
      <c r="D17" s="16" t="inlineStr">
        <is>
          <t>Công việc đang được các thành viên xử lý</t>
        </is>
      </c>
    </row>
    <row r="18">
      <c r="A18" s="8" t="inlineStr">
        <is>
          <t>Cần review / Đang test</t>
        </is>
      </c>
      <c r="B18" s="7">
        <f>COUNTIF('Phân công chi tiết'!I4:I35, "Cần review")</f>
        <v/>
      </c>
      <c r="C18" s="15">
        <f>B18/B15</f>
        <v/>
      </c>
      <c r="D18" s="16" t="inlineStr">
        <is>
          <t>Chờ đồng đội review chéo / Lead duyệt</t>
        </is>
      </c>
    </row>
    <row r="19">
      <c r="A19" s="8" t="inlineStr">
        <is>
          <t>Đã hoàn thành</t>
        </is>
      </c>
      <c r="B19" s="19">
        <f>COUNTIF('Phân công chi tiết'!I4:I35, "Đã hoàn thành")</f>
        <v/>
      </c>
      <c r="C19" s="20">
        <f>B19/B15</f>
        <v/>
      </c>
      <c r="D19" s="16" t="inlineStr">
        <is>
          <t>Đã xong và đạt Acceptance Criteria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1" customWidth="1" min="3" max="3"/>
    <col width="48" customWidth="1" min="4" max="4"/>
    <col width="18" customWidth="1" min="5" max="5"/>
    <col width="24" customWidth="1" min="6" max="6"/>
    <col width="48" customWidth="1" min="7" max="7"/>
    <col width="13" customWidth="1" min="8" max="8"/>
    <col width="16" customWidth="1" min="9" max="9"/>
    <col width="48" customWidth="1" min="10" max="10"/>
  </cols>
  <sheetData>
    <row r="1">
      <c r="A1" s="1" t="inlineStr">
        <is>
          <t>BẢNG PHÂN CÔNG CHI TIẾT ĐẦU VIỆC (TASK ALLOCATION)</t>
        </is>
      </c>
    </row>
    <row r="2">
      <c r="A2" s="2" t="inlineStr">
        <is>
          <t>Quản lý toàn bộ nhiệm vụ NV1 đến NV5 - Đánh giá chất lượng và nghiệm thu sản phẩm</t>
        </is>
      </c>
    </row>
    <row r="3">
      <c r="A3" s="5" t="inlineStr">
        <is>
          <t>Mã Task</t>
        </is>
      </c>
      <c r="B3" s="5" t="inlineStr">
        <is>
          <t>Nhiệm vụ lớn</t>
        </is>
      </c>
      <c r="C3" s="5" t="inlineStr">
        <is>
          <t>Module liên quan</t>
        </is>
      </c>
      <c r="D3" s="5" t="inlineStr">
        <is>
          <t>Mô tả chi tiết công việc</t>
        </is>
      </c>
      <c r="E3" s="5" t="inlineStr">
        <is>
          <t>Người phụ trách</t>
        </is>
      </c>
      <c r="F3" s="5" t="inlineStr">
        <is>
          <t>Người hỗ trợ / Review</t>
        </is>
      </c>
      <c r="G3" s="5" t="inlineStr">
        <is>
          <t>Sản phẩm đầu ra (Deliverable)</t>
        </is>
      </c>
      <c r="H3" s="5" t="inlineStr">
        <is>
          <t>Độ ưu tiên</t>
        </is>
      </c>
      <c r="I3" s="5" t="inlineStr">
        <is>
          <t>Trạng thái</t>
        </is>
      </c>
      <c r="J3" s="5" t="inlineStr">
        <is>
          <t>Tiêu chí nghiệm thu (Acceptance Criteria)</t>
        </is>
      </c>
    </row>
    <row r="4">
      <c r="A4" s="11" t="inlineStr">
        <is>
          <t>TASK-01</t>
        </is>
      </c>
      <c r="B4" s="13" t="inlineStr">
        <is>
          <t>NV1: Khởi tạo &amp; Mã mẫu</t>
        </is>
      </c>
      <c r="C4" s="13" t="inlineStr">
        <is>
          <t>Chung</t>
        </is>
      </c>
      <c r="D4" s="13" t="inlineStr">
        <is>
          <t>Chạy 'mvn clean test', kiểm tra Chrome/Firefox headless</t>
        </is>
      </c>
      <c r="E4" s="10" t="inlineStr">
        <is>
          <t>TV1</t>
        </is>
      </c>
      <c r="F4" s="10" t="inlineStr">
        <is>
          <t>TV2</t>
        </is>
      </c>
      <c r="G4" s="13" t="inlineStr">
        <is>
          <t>Terminal log BUILD SUCCESS (3 tests pass)</t>
        </is>
      </c>
      <c r="H4" s="7" t="inlineStr">
        <is>
          <t>Cao</t>
        </is>
      </c>
      <c r="I4" s="19" t="inlineStr">
        <is>
          <t>Đã hoàn thành</t>
        </is>
      </c>
      <c r="J4" s="13" t="inlineStr">
        <is>
          <t>Chạy thành công từ dòng lệnh, không có lỗi driver</t>
        </is>
      </c>
    </row>
    <row r="5">
      <c r="A5" s="7" t="inlineStr">
        <is>
          <t>TASK-02</t>
        </is>
      </c>
      <c r="B5" s="9" t="inlineStr">
        <is>
          <t>NV1: Khởi tạo &amp; Mã mẫu</t>
        </is>
      </c>
      <c r="C5" s="9" t="inlineStr">
        <is>
          <t>FR-01</t>
        </is>
      </c>
      <c r="D5" s="9" t="inlineStr">
        <is>
          <t>Bổ sung ít nhất 2 test case mới vào 'login-data.csv' (chuỗi rỗng "")</t>
        </is>
      </c>
      <c r="E5" s="6" t="inlineStr">
        <is>
          <t>TV1</t>
        </is>
      </c>
      <c r="F5" s="6" t="inlineStr">
        <is>
          <t>TV5</t>
        </is>
      </c>
      <c r="G5" s="9" t="inlineStr">
        <is>
          <t>File login-data.csv cập nhật, chạy 4+ tests pass</t>
        </is>
      </c>
      <c r="H5" s="7" t="inlineStr">
        <is>
          <t>Cao</t>
        </is>
      </c>
      <c r="I5" s="19" t="inlineStr">
        <is>
          <t>Đã hoàn thành</t>
        </is>
      </c>
      <c r="J5" s="9" t="inlineStr">
        <is>
          <t>Hiển thị đúng tên test TC-LOGIN-4: user=, accepted=false</t>
        </is>
      </c>
    </row>
    <row r="6">
      <c r="A6" s="11" t="inlineStr">
        <is>
          <t>TASK-03</t>
        </is>
      </c>
      <c r="B6" s="13" t="inlineStr">
        <is>
          <t>NV1: Khởi tạo &amp; Mã mẫu</t>
        </is>
      </c>
      <c r="C6" s="13" t="inlineStr">
        <is>
          <t>Chung</t>
        </is>
      </c>
      <c r="D6" s="13" t="inlineStr">
        <is>
          <t>Viết giải thích vai trò @BeforeEach, @ParameterizedTest, @CsvFileSource</t>
        </is>
      </c>
      <c r="E6" s="10" t="inlineStr">
        <is>
          <t>TV1</t>
        </is>
      </c>
      <c r="F6" s="10" t="inlineStr">
        <is>
          <t>TV3</t>
        </is>
      </c>
      <c r="G6" s="13" t="inlineStr">
        <is>
          <t>Mục NV1 trong Báo cáo LaTeX</t>
        </is>
      </c>
      <c r="H6" s="6" t="inlineStr">
        <is>
          <t>Trung bình</t>
        </is>
      </c>
      <c r="I6" s="21" t="inlineStr">
        <is>
          <t>Chưa bắt đầu</t>
        </is>
      </c>
      <c r="J6" s="13" t="inlineStr">
        <is>
          <t>Giải thích súc tích, chính xác theo lý thuyết JUnit 5</t>
        </is>
      </c>
    </row>
    <row r="7">
      <c r="A7" s="7" t="inlineStr">
        <is>
          <t>TASK-04</t>
        </is>
      </c>
      <c r="B7" s="9" t="inlineStr">
        <is>
          <t>NV2: Phân tích yêu cầu</t>
        </is>
      </c>
      <c r="C7" s="9" t="inlineStr">
        <is>
          <t>FR-01 Đăng nhập</t>
        </is>
      </c>
      <c r="D7" s="9" t="inlineStr">
        <is>
          <t>Viết đặc tả FR-01: quy tắc kiểm tra, 4 loại thông báo lỗi, URL chuyển hướng</t>
        </is>
      </c>
      <c r="E7" s="6" t="inlineStr">
        <is>
          <t>TV1</t>
        </is>
      </c>
      <c r="F7" s="6" t="inlineStr">
        <is>
          <t>TV4</t>
        </is>
      </c>
      <c r="G7" s="9" t="inlineStr">
        <is>
          <t>Bản đặc tả FR-01 trong Báo cáo &amp; Excel</t>
        </is>
      </c>
      <c r="H7" s="7" t="inlineStr">
        <is>
          <t>Cao</t>
        </is>
      </c>
      <c r="I7" s="21" t="inlineStr">
        <is>
          <t>Chưa bắt đầu</t>
        </is>
      </c>
      <c r="J7" s="9" t="inlineStr">
        <is>
          <t>Có giá trị, thông báo cụ thể; không viết chung chung</t>
        </is>
      </c>
    </row>
    <row r="8">
      <c r="A8" s="11" t="inlineStr">
        <is>
          <t>TASK-05</t>
        </is>
      </c>
      <c r="B8" s="13" t="inlineStr">
        <is>
          <t>NV2: Phân tích yêu cầu</t>
        </is>
      </c>
      <c r="C8" s="13" t="inlineStr">
        <is>
          <t>FR-02 Giỏ hàng</t>
        </is>
      </c>
      <c r="D8" s="13" t="inlineStr">
        <is>
          <t>Viết đặc tả FR-02: trạng thái nút Add/Remove, số lượng badge (1-6) và giỏ rỗng</t>
        </is>
      </c>
      <c r="E8" s="10" t="inlineStr">
        <is>
          <t>TV2</t>
        </is>
      </c>
      <c r="F8" s="10" t="inlineStr">
        <is>
          <t>TV1</t>
        </is>
      </c>
      <c r="G8" s="13" t="inlineStr">
        <is>
          <t>Bản đặc tả FR-02 trong Báo cáo &amp; Excel</t>
        </is>
      </c>
      <c r="H8" s="7" t="inlineStr">
        <is>
          <t>Cao</t>
        </is>
      </c>
      <c r="I8" s="21" t="inlineStr">
        <is>
          <t>Chưa bắt đầu</t>
        </is>
      </c>
      <c r="J8" s="13" t="inlineStr">
        <is>
          <t>Nêu rõ hành vi badge khi rỗng và khi có sản phẩm</t>
        </is>
      </c>
    </row>
    <row r="9">
      <c r="A9" s="7" t="inlineStr">
        <is>
          <t>TASK-06</t>
        </is>
      </c>
      <c r="B9" s="9" t="inlineStr">
        <is>
          <t>NV2: Phân tích yêu cầu</t>
        </is>
      </c>
      <c r="C9" s="9" t="inlineStr">
        <is>
          <t>FR-03 Thanh toán</t>
        </is>
      </c>
      <c r="D9" s="9" t="inlineStr">
        <is>
          <t>Viết đặc tả FR-03: thứ tự validate form, công thức Tax (8%), Total, nút Cancel</t>
        </is>
      </c>
      <c r="E9" s="6" t="inlineStr">
        <is>
          <t>TV3</t>
        </is>
      </c>
      <c r="F9" s="6" t="inlineStr">
        <is>
          <t>TV4</t>
        </is>
      </c>
      <c r="G9" s="9" t="inlineStr">
        <is>
          <t>Bản đặc tả FR-03 trong Báo cáo &amp; Excel</t>
        </is>
      </c>
      <c r="H9" s="7" t="inlineStr">
        <is>
          <t>Cao</t>
        </is>
      </c>
      <c r="I9" s="21" t="inlineStr">
        <is>
          <t>Chưa bắt đầu</t>
        </is>
      </c>
      <c r="J9" s="9" t="inlineStr">
        <is>
          <t>Công thức tính tiền, làm tròn 2 chữ số thập phân</t>
        </is>
      </c>
    </row>
    <row r="10">
      <c r="A10" s="11" t="inlineStr">
        <is>
          <t>TASK-07</t>
        </is>
      </c>
      <c r="B10" s="13" t="inlineStr">
        <is>
          <t>NV2: Phân tích yêu cầu</t>
        </is>
      </c>
      <c r="C10" s="13" t="inlineStr">
        <is>
          <t>FR-04 Sắp xếp</t>
        </is>
      </c>
      <c r="D10" s="13" t="inlineStr">
        <is>
          <t>Viết đặc tả FR-04: 4 tiêu chí sắp xếp (Name A-Z, Z-A, Price low-high, high-low)</t>
        </is>
      </c>
      <c r="E10" s="10" t="inlineStr">
        <is>
          <t>TV4</t>
        </is>
      </c>
      <c r="F10" s="10" t="inlineStr">
        <is>
          <t>TV2</t>
        </is>
      </c>
      <c r="G10" s="13" t="inlineStr">
        <is>
          <t>Bản đặc tả FR-04 trong Báo cáo &amp; Excel</t>
        </is>
      </c>
      <c r="H10" s="6" t="inlineStr">
        <is>
          <t>Trung bình</t>
        </is>
      </c>
      <c r="I10" s="21" t="inlineStr">
        <is>
          <t>Chưa bắt đầu</t>
        </is>
      </c>
      <c r="J10" s="13" t="inlineStr">
        <is>
          <t>Rõ ràng về thứ tự hiển thị và dữ liệu danh sách sản phẩm</t>
        </is>
      </c>
    </row>
    <row r="11">
      <c r="A11" s="7" t="inlineStr">
        <is>
          <t>TASK-08</t>
        </is>
      </c>
      <c r="B11" s="9" t="inlineStr">
        <is>
          <t>NV2: Phân tích yêu cầu</t>
        </is>
      </c>
      <c r="C11" s="9" t="inlineStr">
        <is>
          <t>NFR-01 Hiệu năng</t>
        </is>
      </c>
      <c r="D11" s="9" t="inlineStr">
        <is>
          <t>Viết đặc tả NFR-01: thời gian hiển thị trang SP &lt;= 3s (trung vị 5 lần đo)</t>
        </is>
      </c>
      <c r="E11" s="6" t="inlineStr">
        <is>
          <t>TV5</t>
        </is>
      </c>
      <c r="F11" s="6" t="inlineStr">
        <is>
          <t>TV1</t>
        </is>
      </c>
      <c r="G11" s="9" t="inlineStr">
        <is>
          <t>Bản đặc tả NFR-01 trong Báo cáo &amp; Excel</t>
        </is>
      </c>
      <c r="H11" s="7" t="inlineStr">
        <is>
          <t>Cao</t>
        </is>
      </c>
      <c r="I11" s="21" t="inlineStr">
        <is>
          <t>Chưa bắt đầu</t>
        </is>
      </c>
      <c r="J11" s="9" t="inlineStr">
        <is>
          <t>Quy định điều kiện mạng, thiết bị và công thức trung vị</t>
        </is>
      </c>
    </row>
    <row r="12">
      <c r="A12" s="11" t="inlineStr">
        <is>
          <t>TASK-09</t>
        </is>
      </c>
      <c r="B12" s="13" t="inlineStr">
        <is>
          <t>NV2: Phân tích yêu cầu</t>
        </is>
      </c>
      <c r="C12" s="13" t="inlineStr">
        <is>
          <t>Rủi ro &amp; Ma trận</t>
        </is>
      </c>
      <c r="D12" s="13" t="inlineStr">
        <is>
          <t>Chấm điểm rủi ro R = P x I cho FR-01..04; Lập khung Ma trận truy vết (Traceability)</t>
        </is>
      </c>
      <c r="E12" s="10" t="inlineStr">
        <is>
          <t>TV1</t>
        </is>
      </c>
      <c r="F12" s="10" t="inlineStr">
        <is>
          <t>TV5</t>
        </is>
      </c>
      <c r="G12" s="13" t="inlineStr">
        <is>
          <t>Bảng đánh giá rủi ro &amp; Khung Traceability Matrix</t>
        </is>
      </c>
      <c r="H12" s="7" t="inlineStr">
        <is>
          <t>Cao</t>
        </is>
      </c>
      <c r="I12" s="21" t="inlineStr">
        <is>
          <t>Chưa bắt đầu</t>
        </is>
      </c>
      <c r="J12" s="13" t="inlineStr">
        <is>
          <t>R &gt;= 12 (FR-03, FR-01) được phân bổ nhiều test case nhất</t>
        </is>
      </c>
    </row>
    <row r="13">
      <c r="A13" s="7" t="inlineStr">
        <is>
          <t>TASK-10</t>
        </is>
      </c>
      <c r="B13" s="9" t="inlineStr">
        <is>
          <t>NV3: Thiết kế test case</t>
        </is>
      </c>
      <c r="C13" s="9" t="inlineStr">
        <is>
          <t>EP (Tối thiểu 8 TC)</t>
        </is>
      </c>
      <c r="D13" s="9" t="inlineStr">
        <is>
          <t>Thiết kế Phân lớp tương đương (EP): trường Username (5 TC) + Password/Postal (3+ TC)</t>
        </is>
      </c>
      <c r="E13" s="6" t="inlineStr">
        <is>
          <t>TV1</t>
        </is>
      </c>
      <c r="F13" s="6" t="inlineStr">
        <is>
          <t>TV3</t>
        </is>
      </c>
      <c r="G13" s="9" t="inlineStr">
        <is>
          <t>Bảng EP + Đặc tả test case chi tiết</t>
        </is>
      </c>
      <c r="H13" s="7" t="inlineStr">
        <is>
          <t>Cao</t>
        </is>
      </c>
      <c r="I13" s="21" t="inlineStr">
        <is>
          <t>Chưa bắt đầu</t>
        </is>
      </c>
      <c r="J13" s="9" t="inlineStr">
        <is>
          <t>Bao phủ lớp hợp lệ, không hợp lệ, phân biệt hoa thường</t>
        </is>
      </c>
    </row>
    <row r="14">
      <c r="A14" s="11" t="inlineStr">
        <is>
          <t>TASK-11</t>
        </is>
      </c>
      <c r="B14" s="13" t="inlineStr">
        <is>
          <t>NV3: Thiết kế test case</t>
        </is>
      </c>
      <c r="C14" s="13" t="inlineStr">
        <is>
          <t>BVA (Tối thiểu 8 TC)</t>
        </is>
      </c>
      <c r="D14" s="13" t="inlineStr">
        <is>
          <t>Thiết kế Giá trị biên (BVA): số SP giỏ hàng [0,6] (5 TC) + biên làm tròn thuế 8% (3+ TC)</t>
        </is>
      </c>
      <c r="E14" s="10" t="inlineStr">
        <is>
          <t>TV2</t>
        </is>
      </c>
      <c r="F14" s="10" t="inlineStr">
        <is>
          <t>TV4</t>
        </is>
      </c>
      <c r="G14" s="13" t="inlineStr">
        <is>
          <t>Bảng BVA + Đặc tả test case chi tiết</t>
        </is>
      </c>
      <c r="H14" s="7" t="inlineStr">
        <is>
          <t>Cao</t>
        </is>
      </c>
      <c r="I14" s="21" t="inlineStr">
        <is>
          <t>Chưa bắt đầu</t>
        </is>
      </c>
      <c r="J14" s="13" t="inlineStr">
        <is>
          <t>Giải thích rõ giá trị không áp dụng (-1, 7) và giá trị biên sát 0.005</t>
        </is>
      </c>
    </row>
    <row r="15">
      <c r="A15" s="7" t="inlineStr">
        <is>
          <t>TASK-12</t>
        </is>
      </c>
      <c r="B15" s="9" t="inlineStr">
        <is>
          <t>NV3: Thiết kế test case</t>
        </is>
      </c>
      <c r="C15" s="9" t="inlineStr">
        <is>
          <t>Bảng quyết định (DT)</t>
        </is>
      </c>
      <c r="D15" s="9" t="inlineStr">
        <is>
          <t>Thiết kế Decision Table: Đăng nhập FR-01 (5 TC) + Nhập thông tin thanh toán FR-03 (4+ TC)</t>
        </is>
      </c>
      <c r="E15" s="6" t="inlineStr">
        <is>
          <t>TV4</t>
        </is>
      </c>
      <c r="F15" s="6" t="inlineStr">
        <is>
          <t>TV1</t>
        </is>
      </c>
      <c r="G15" s="9" t="inlineStr">
        <is>
          <t>Bảng DT R1..R5 đăng nhập + Bảng DT thanh toán</t>
        </is>
      </c>
      <c r="H15" s="7" t="inlineStr">
        <is>
          <t>Cao</t>
        </is>
      </c>
      <c r="I15" s="21" t="inlineStr">
        <is>
          <t>Chưa bắt đầu</t>
        </is>
      </c>
      <c r="J15" s="9" t="inlineStr">
        <is>
          <t>Mỗi quy tắc sinh đúng 1 test case; bao phủ điều kiện rỗng</t>
        </is>
      </c>
    </row>
    <row r="16">
      <c r="A16" s="11" t="inlineStr">
        <is>
          <t>TASK-13</t>
        </is>
      </c>
      <c r="B16" s="13" t="inlineStr">
        <is>
          <t>NV3: Thiết kế test case</t>
        </is>
      </c>
      <c r="C16" s="13" t="inlineStr">
        <is>
          <t>Use Case 1 (UC)</t>
        </is>
      </c>
      <c r="D16" s="13" t="inlineStr">
        <is>
          <t>Vẽ sơ đồ hoạt động &amp; thiết kế kịch bản UC1 'Thanh toán đơn hàng' (TC-CHK-01..05)</t>
        </is>
      </c>
      <c r="E16" s="10" t="inlineStr">
        <is>
          <t>TV3</t>
        </is>
      </c>
      <c r="F16" s="10" t="inlineStr">
        <is>
          <t>TV4</t>
        </is>
      </c>
      <c r="G16" s="13" t="inlineStr">
        <is>
          <t>Sơ đồ Activity Diagram + 5 kịch bản luồng chính/phụ</t>
        </is>
      </c>
      <c r="H16" s="7" t="inlineStr">
        <is>
          <t>Cao</t>
        </is>
      </c>
      <c r="I16" s="21" t="inlineStr">
        <is>
          <t>Chưa bắt đầu</t>
        </is>
      </c>
      <c r="J16" s="13" t="inlineStr">
        <is>
          <t>Luồng chính + luồng thay thế A1-A4 đúng chuẩn đề bài</t>
        </is>
      </c>
    </row>
    <row r="17">
      <c r="A17" s="7" t="inlineStr">
        <is>
          <t>TASK-14</t>
        </is>
      </c>
      <c r="B17" s="9" t="inlineStr">
        <is>
          <t>NV3: Thiết kế test case</t>
        </is>
      </c>
      <c r="C17" s="9" t="inlineStr">
        <is>
          <t>Use Case 2 (UC)</t>
        </is>
      </c>
      <c r="D17" s="9" t="inlineStr">
        <is>
          <t>Vẽ sơ đồ hoạt động &amp; thiết kế kịch bản UC2 'Quản lý giỏ hàng' (ít nhất 3 kịch bản)</t>
        </is>
      </c>
      <c r="E17" s="6" t="inlineStr">
        <is>
          <t>TV5</t>
        </is>
      </c>
      <c r="F17" s="6" t="inlineStr">
        <is>
          <t>TV2</t>
        </is>
      </c>
      <c r="G17" s="9" t="inlineStr">
        <is>
          <t>Sơ đồ Activity Diagram UC2 + kịch bản test case</t>
        </is>
      </c>
      <c r="H17" s="6" t="inlineStr">
        <is>
          <t>Trung bình</t>
        </is>
      </c>
      <c r="I17" s="21" t="inlineStr">
        <is>
          <t>Chưa bắt đầu</t>
        </is>
      </c>
      <c r="J17" s="9" t="inlineStr">
        <is>
          <t>Bao gồm thêm, xóa ở trang SP, xóa ở giỏ, Continue Shopping</t>
        </is>
      </c>
    </row>
    <row r="18">
      <c r="A18" s="11" t="inlineStr">
        <is>
          <t>TASK-15</t>
        </is>
      </c>
      <c r="B18" s="13" t="inlineStr">
        <is>
          <t>NV3: Thiết kế test case</t>
        </is>
      </c>
      <c r="C18" s="13" t="inlineStr">
        <is>
          <t>NFR-01</t>
        </is>
      </c>
      <c r="D18" s="13" t="inlineStr">
        <is>
          <t>Thiết kế test case đo hiệu năng đăng nhập với 'performance_glitch_user'</t>
        </is>
      </c>
      <c r="E18" s="10" t="inlineStr">
        <is>
          <t>TV5</t>
        </is>
      </c>
      <c r="F18" s="10" t="inlineStr">
        <is>
          <t>TV1</t>
        </is>
      </c>
      <c r="G18" s="13" t="inlineStr">
        <is>
          <t>Đặc tả test case TC-NFR-01 chi tiết</t>
        </is>
      </c>
      <c r="H18" s="7" t="inlineStr">
        <is>
          <t>Cao</t>
        </is>
      </c>
      <c r="I18" s="21" t="inlineStr">
        <is>
          <t>Chưa bắt đầu</t>
        </is>
      </c>
      <c r="J18" s="13" t="inlineStr">
        <is>
          <t>Đầy đủ các bước đo, bấm giờ và điều kiện lặp 5 lần</t>
        </is>
      </c>
    </row>
    <row r="19">
      <c r="A19" s="7" t="inlineStr">
        <is>
          <t>TASK-16</t>
        </is>
      </c>
      <c r="B19" s="9" t="inlineStr">
        <is>
          <t>NV3: Thiết kế test case</t>
        </is>
      </c>
      <c r="C19" s="9" t="inlineStr">
        <is>
          <t>Tổng hợp Test Cases</t>
        </is>
      </c>
      <c r="D19" s="9" t="inlineStr">
        <is>
          <t>Tập hợp toàn bộ test case (&gt;= 33 TC) vào sheet 'TestCases' của test-cases.xlsx</t>
        </is>
      </c>
      <c r="E19" s="6" t="inlineStr">
        <is>
          <t>TV5</t>
        </is>
      </c>
      <c r="F19" s="6" t="inlineStr">
        <is>
          <t>TV1</t>
        </is>
      </c>
      <c r="G19" s="9" t="inlineStr">
        <is>
          <t>Sheet 'TestCases' hoàn chỉnh</t>
        </is>
      </c>
      <c r="H19" s="7" t="inlineStr">
        <is>
          <t>Cao</t>
        </is>
      </c>
      <c r="I19" s="21" t="inlineStr">
        <is>
          <t>Chưa bắt đầu</t>
        </is>
      </c>
      <c r="J19" s="9" t="inlineStr">
        <is>
          <t>Mỗi TC đủ: Tiền điều kiện, Bước thực hiện, Dữ liệu, Kết quả mong đợi</t>
        </is>
      </c>
    </row>
    <row r="20">
      <c r="A20" s="11" t="inlineStr">
        <is>
          <t>TASK-17</t>
        </is>
      </c>
      <c r="B20" s="13" t="inlineStr">
        <is>
          <t>NV4: Thực thi thủ công</t>
        </is>
      </c>
      <c r="C20" s="13" t="inlineStr">
        <is>
          <t>Thực thi FR-01 &amp; FR-02</t>
        </is>
      </c>
      <c r="D20" s="13" t="inlineStr">
        <is>
          <t>Chạy test thủ công FR-01 và FR-02 trên Chrome/Firefox, ghi log PASS/FAIL/BLOCKED</t>
        </is>
      </c>
      <c r="E20" s="10" t="inlineStr">
        <is>
          <t>TV1</t>
        </is>
      </c>
      <c r="F20" s="10" t="inlineStr">
        <is>
          <t>TV2</t>
        </is>
      </c>
      <c r="G20" s="13" t="inlineStr">
        <is>
          <t>Dữ liệu thực thi trong sheet 'Execution'</t>
        </is>
      </c>
      <c r="H20" s="6" t="inlineStr">
        <is>
          <t>Trung bình</t>
        </is>
      </c>
      <c r="I20" s="21" t="inlineStr">
        <is>
          <t>Chưa bắt đầu</t>
        </is>
      </c>
      <c r="J20" s="13" t="inlineStr">
        <is>
          <t>Ghi rõ ngày, người chạy, môi trường, kết quả thực tế</t>
        </is>
      </c>
    </row>
    <row r="21">
      <c r="A21" s="7" t="inlineStr">
        <is>
          <t>TASK-18</t>
        </is>
      </c>
      <c r="B21" s="9" t="inlineStr">
        <is>
          <t>NV4: Thực thi thủ công</t>
        </is>
      </c>
      <c r="C21" s="9" t="inlineStr">
        <is>
          <t>Thực thi FR-03 &amp; FR-04</t>
        </is>
      </c>
      <c r="D21" s="9" t="inlineStr">
        <is>
          <t>Chạy test thủ công FR-03 (luồng thanh toán) và FR-04 (sắp xếp 4 kiểu)</t>
        </is>
      </c>
      <c r="E21" s="6" t="inlineStr">
        <is>
          <t>TV3</t>
        </is>
      </c>
      <c r="F21" s="6" t="inlineStr">
        <is>
          <t>TV4</t>
        </is>
      </c>
      <c r="G21" s="9" t="inlineStr">
        <is>
          <t>Dữ liệu thực thi trong sheet 'Execution'</t>
        </is>
      </c>
      <c r="H21" s="6" t="inlineStr">
        <is>
          <t>Trung bình</t>
        </is>
      </c>
      <c r="I21" s="21" t="inlineStr">
        <is>
          <t>Chưa bắt đầu</t>
        </is>
      </c>
      <c r="J21" s="9" t="inlineStr">
        <is>
          <t>Xác nhận đúng công thức tiền và tính đúng của danh sách sắp xếp</t>
        </is>
      </c>
    </row>
    <row r="22">
      <c r="A22" s="11" t="inlineStr">
        <is>
          <t>TASK-19</t>
        </is>
      </c>
      <c r="B22" s="13" t="inlineStr">
        <is>
          <t>NV4: Thực thi thủ công</t>
        </is>
      </c>
      <c r="C22" s="13" t="inlineStr">
        <is>
          <t>Thực thi NFR-01 &amp; Đo kiểm</t>
        </is>
      </c>
      <c r="D22" s="13" t="inlineStr">
        <is>
          <t>Thực hiện 5 lần đo thời gian đăng nhập với performance_glitch_user, tính trung vị</t>
        </is>
      </c>
      <c r="E22" s="10" t="inlineStr">
        <is>
          <t>TV5</t>
        </is>
      </c>
      <c r="F22" s="10" t="inlineStr">
        <is>
          <t>TV1</t>
        </is>
      </c>
      <c r="G22" s="13" t="inlineStr">
        <is>
          <t>Bảng 5 lần đo, kết quả FAIL (vượt ngưỡng 3s)</t>
        </is>
      </c>
      <c r="H22" s="7" t="inlineStr">
        <is>
          <t>Cao</t>
        </is>
      </c>
      <c r="I22" s="21" t="inlineStr">
        <is>
          <t>Chưa bắt đầu</t>
        </is>
      </c>
      <c r="J22" s="13" t="inlineStr">
        <is>
          <t>Có số đo thật của nhóm, mạng ổn định, xóa cookie</t>
        </is>
      </c>
    </row>
    <row r="23">
      <c r="A23" s="7" t="inlineStr">
        <is>
          <t>TASK-20</t>
        </is>
      </c>
      <c r="B23" s="9" t="inlineStr">
        <is>
          <t>NV4: Thực thi thủ công</t>
        </is>
      </c>
      <c r="C23" s="9" t="inlineStr">
        <is>
          <t>Khám phá lỗi (Bug Hunter)</t>
        </is>
      </c>
      <c r="D23" s="9" t="inlineStr">
        <is>
          <t>Đăng nhập problem_user, chạy lại TC-CHK-01 và các test giỏ hàng để tìm lỗi</t>
        </is>
      </c>
      <c r="E23" s="6" t="inlineStr">
        <is>
          <t>TV4</t>
        </is>
      </c>
      <c r="F23" s="6" t="inlineStr">
        <is>
          <t>TV5</t>
        </is>
      </c>
      <c r="G23" s="9" t="inlineStr">
        <is>
          <t>Danh sách lỗi giao diện/chức năng phát hiện</t>
        </is>
      </c>
      <c r="H23" s="7" t="inlineStr">
        <is>
          <t>Cao</t>
        </is>
      </c>
      <c r="I23" s="21" t="inlineStr">
        <is>
          <t>Chưa bắt đầu</t>
        </is>
      </c>
      <c r="J23" s="9" t="inlineStr">
        <is>
          <t>Tìm được các bug tiềm ẩn của problem_user</t>
        </is>
      </c>
    </row>
    <row r="24">
      <c r="A24" s="11" t="inlineStr">
        <is>
          <t>TASK-21</t>
        </is>
      </c>
      <c r="B24" s="13" t="inlineStr">
        <is>
          <t>NV4: Báo cáo lỗi (Bugs)</t>
        </is>
      </c>
      <c r="C24" s="13" t="inlineStr">
        <is>
          <t>Lập báo cáo lỗi BUG-xx</t>
        </is>
      </c>
      <c r="D24" s="13" t="inlineStr">
        <is>
          <t>Viết phiếu báo cáo BUG-01 (NFR-01) và các BUG chức năng khác vào sheet 'Bugs'</t>
        </is>
      </c>
      <c r="E24" s="10" t="inlineStr">
        <is>
          <t>TV5</t>
        </is>
      </c>
      <c r="F24" s="10" t="inlineStr">
        <is>
          <t>TV3</t>
        </is>
      </c>
      <c r="G24" s="13" t="inlineStr">
        <is>
          <t>Báo cáo lỗi chi tiết + Ảnh/Video bằng chứng</t>
        </is>
      </c>
      <c r="H24" s="7" t="inlineStr">
        <is>
          <t>Cao</t>
        </is>
      </c>
      <c r="I24" s="21" t="inlineStr">
        <is>
          <t>Chưa bắt đầu</t>
        </is>
      </c>
      <c r="J24" s="13" t="inlineStr">
        <is>
          <t>Đủ: Mã, Tiêu đề, Mức độ, Bước tái hiện, Mong đợi, Thực tế</t>
        </is>
      </c>
    </row>
    <row r="25">
      <c r="A25" s="7" t="inlineStr">
        <is>
          <t>TASK-22</t>
        </is>
      </c>
      <c r="B25" s="9" t="inlineStr">
        <is>
          <t>NV5: Tự động hóa JUnit 5</t>
        </is>
      </c>
      <c r="C25" s="9" t="inlineStr">
        <is>
          <t>Page Object: Inventory</t>
        </is>
      </c>
      <c r="D25" s="9" t="inlineStr">
        <is>
          <t>Lập trình 'pages/InventoryPage.java': add/remove SP, đọc badge, chọn sort, đọc tên/giá</t>
        </is>
      </c>
      <c r="E25" s="6" t="inlineStr">
        <is>
          <t>TV2</t>
        </is>
      </c>
      <c r="F25" s="6" t="inlineStr">
        <is>
          <t>TV1</t>
        </is>
      </c>
      <c r="G25" s="9" t="inlineStr">
        <is>
          <t>Mã nguồn InventoryPage.java hoàn thiện</t>
        </is>
      </c>
      <c r="H25" s="7" t="inlineStr">
        <is>
          <t>Cao</t>
        </is>
      </c>
      <c r="I25" s="21" t="inlineStr">
        <is>
          <t>Chưa bắt đầu</t>
        </is>
      </c>
      <c r="J25" s="9" t="inlineStr">
        <is>
          <t>Tuân thủ POM, dùng Explicit Wait (WebDriverWait), không Thread.sleep</t>
        </is>
      </c>
    </row>
    <row r="26">
      <c r="A26" s="11" t="inlineStr">
        <is>
          <t>TASK-23</t>
        </is>
      </c>
      <c r="B26" s="13" t="inlineStr">
        <is>
          <t>NV5: Tự động hóa JUnit 5</t>
        </is>
      </c>
      <c r="C26" s="13" t="inlineStr">
        <is>
          <t>Page Object: Cart &amp; Checkout</t>
        </is>
      </c>
      <c r="D26" s="13" t="inlineStr">
        <is>
          <t>Lập trình 'pages/CartPage.java' và 'pages/CheckoutPage.java' (form, error, totals)</t>
        </is>
      </c>
      <c r="E26" s="10" t="inlineStr">
        <is>
          <t>TV3</t>
        </is>
      </c>
      <c r="F26" s="10" t="inlineStr">
        <is>
          <t>TV4</t>
        </is>
      </c>
      <c r="G26" s="13" t="inlineStr">
        <is>
          <t>Mã nguồn CartPage.java &amp; CheckoutPage.java</t>
        </is>
      </c>
      <c r="H26" s="7" t="inlineStr">
        <is>
          <t>Cao</t>
        </is>
      </c>
      <c r="I26" s="21" t="inlineStr">
        <is>
          <t>Chưa bắt đầu</t>
        </is>
      </c>
      <c r="J26" s="13" t="inlineStr">
        <is>
          <t>Có đầy đủ locator By.id/css, hàm fillInfo, continue, total</t>
        </is>
      </c>
    </row>
    <row r="27">
      <c r="A27" s="7" t="inlineStr">
        <is>
          <t>TASK-24</t>
        </is>
      </c>
      <c r="B27" s="9" t="inlineStr">
        <is>
          <t>NV5: Tự động hóa JUnit 5</t>
        </is>
      </c>
      <c r="C27" s="9" t="inlineStr">
        <is>
          <t>Test: LoginTest</t>
        </is>
      </c>
      <c r="D27" s="9" t="inlineStr">
        <is>
          <t>Hoàn thiện 'tests/LoginTest.java': @ParameterizedTest, @CsvFileSource, @ValueSource</t>
        </is>
      </c>
      <c r="E27" s="6" t="inlineStr">
        <is>
          <t>TV1</t>
        </is>
      </c>
      <c r="F27" s="6" t="inlineStr">
        <is>
          <t>TV5</t>
        </is>
      </c>
      <c r="G27" s="9" t="inlineStr">
        <is>
          <t>Mã nguồn LoginTest.java</t>
        </is>
      </c>
      <c r="H27" s="7" t="inlineStr">
        <is>
          <t>Cao</t>
        </is>
      </c>
      <c r="I27" s="21" t="inlineStr">
        <is>
          <t>Chưa bắt đầu</t>
        </is>
      </c>
      <c r="J27" s="9" t="inlineStr">
        <is>
          <t>Bao phủ các test case EP &amp; DT đã thiết kế</t>
        </is>
      </c>
    </row>
    <row r="28">
      <c r="A28" s="11" t="inlineStr">
        <is>
          <t>TASK-25</t>
        </is>
      </c>
      <c r="B28" s="13" t="inlineStr">
        <is>
          <t>NV5: Tự động hóa JUnit 5</t>
        </is>
      </c>
      <c r="C28" s="13" t="inlineStr">
        <is>
          <t>Test: CartTest</t>
        </is>
      </c>
      <c r="D28" s="13" t="inlineStr">
        <is>
          <t>Viết 'tests/CartTest.java': kiểm thử các giá trị biên của giỏ hàng (0, 1, 5, 6, 1-&gt;0)</t>
        </is>
      </c>
      <c r="E28" s="10" t="inlineStr">
        <is>
          <t>TV2</t>
        </is>
      </c>
      <c r="F28" s="10" t="inlineStr">
        <is>
          <t>TV3</t>
        </is>
      </c>
      <c r="G28" s="13" t="inlineStr">
        <is>
          <t>Mã nguồn CartTest.java</t>
        </is>
      </c>
      <c r="H28" s="7" t="inlineStr">
        <is>
          <t>Cao</t>
        </is>
      </c>
      <c r="I28" s="21" t="inlineStr">
        <is>
          <t>Chưa bắt đầu</t>
        </is>
      </c>
      <c r="J28" s="13" t="inlineStr">
        <is>
          <t>Assert chính xác số lượng badge hiển thị hoặc biến mất</t>
        </is>
      </c>
    </row>
    <row r="29">
      <c r="A29" s="7" t="inlineStr">
        <is>
          <t>TASK-26</t>
        </is>
      </c>
      <c r="B29" s="9" t="inlineStr">
        <is>
          <t>NV5: Tự động hóa JUnit 5</t>
        </is>
      </c>
      <c r="C29" s="9" t="inlineStr">
        <is>
          <t>Test: CheckoutTest</t>
        </is>
      </c>
      <c r="D29" s="9" t="inlineStr">
        <is>
          <t>Viết 'tests/CheckoutTest.java': TC-CHK-01 (main flow) và TC-CHK-02..04 (@CsvSource)</t>
        </is>
      </c>
      <c r="E29" s="6" t="inlineStr">
        <is>
          <t>TV3</t>
        </is>
      </c>
      <c r="F29" s="6" t="inlineStr">
        <is>
          <t>TV4</t>
        </is>
      </c>
      <c r="G29" s="9" t="inlineStr">
        <is>
          <t>Mã nguồn CheckoutTest.java</t>
        </is>
      </c>
      <c r="H29" s="7" t="inlineStr">
        <is>
          <t>Cao</t>
        </is>
      </c>
      <c r="I29" s="21" t="inlineStr">
        <is>
          <t>Chưa bắt đầu</t>
        </is>
      </c>
      <c r="J29" s="9" t="inlineStr">
        <is>
          <t>Khớp chính xác thông báo lỗi form và tổng tiền $32.39</t>
        </is>
      </c>
    </row>
    <row r="30">
      <c r="A30" s="11" t="inlineStr">
        <is>
          <t>TASK-27</t>
        </is>
      </c>
      <c r="B30" s="13" t="inlineStr">
        <is>
          <t>NV5: Tự động hóa JUnit 5</t>
        </is>
      </c>
      <c r="C30" s="13" t="inlineStr">
        <is>
          <t>Test: SortTest</t>
        </is>
      </c>
      <c r="D30" s="13" t="inlineStr">
        <is>
          <t>Viết 'tests/SortTest.java': 4 kiểu sắp xếp, dùng Java Comparator so sánh động</t>
        </is>
      </c>
      <c r="E30" s="10" t="inlineStr">
        <is>
          <t>TV4</t>
        </is>
      </c>
      <c r="F30" s="10" t="inlineStr">
        <is>
          <t>TV2</t>
        </is>
      </c>
      <c r="G30" s="13" t="inlineStr">
        <is>
          <t>Mã nguồn SortTest.java</t>
        </is>
      </c>
      <c r="H30" s="7" t="inlineStr">
        <is>
          <t>Cao</t>
        </is>
      </c>
      <c r="I30" s="21" t="inlineStr">
        <is>
          <t>Chưa bắt đầu</t>
        </is>
      </c>
      <c r="J30" s="13" t="inlineStr">
        <is>
          <t>Không hardcode danh sách giá/tên, assert bằng thuật toán so sánh</t>
        </is>
      </c>
    </row>
    <row r="31">
      <c r="A31" s="7" t="inlineStr">
        <is>
          <t>TASK-28</t>
        </is>
      </c>
      <c r="B31" s="9" t="inlineStr">
        <is>
          <t>NV5: Tự động hóa JUnit 5</t>
        </is>
      </c>
      <c r="C31" s="9" t="inlineStr">
        <is>
          <t>Test: PerformanceTest</t>
        </is>
      </c>
      <c r="D31" s="9" t="inlineStr">
        <is>
          <t>Viết 'tests/PerformanceTest.java': đo nanoTime, assert &lt;= 3s, gắn @Tag("known-bug")</t>
        </is>
      </c>
      <c r="E31" s="6" t="inlineStr">
        <is>
          <t>TV5</t>
        </is>
      </c>
      <c r="F31" s="6" t="inlineStr">
        <is>
          <t>TV1</t>
        </is>
      </c>
      <c r="G31" s="9" t="inlineStr">
        <is>
          <t>Mã nguồn PerformanceTest.java</t>
        </is>
      </c>
      <c r="H31" s="7" t="inlineStr">
        <is>
          <t>Cao</t>
        </is>
      </c>
      <c r="I31" s="21" t="inlineStr">
        <is>
          <t>Chưa bắt đầu</t>
        </is>
      </c>
      <c r="J31" s="9" t="inlineStr">
        <is>
          <t>Test phải FAIL đúng thực tế, không sửa ngưỡng 3s thành 6s</t>
        </is>
      </c>
    </row>
    <row r="32">
      <c r="A32" s="11" t="inlineStr">
        <is>
          <t>TASK-29</t>
        </is>
      </c>
      <c r="B32" s="13" t="inlineStr">
        <is>
          <t>NV5: Tự động hóa JUnit 5</t>
        </is>
      </c>
      <c r="C32" s="13" t="inlineStr">
        <is>
          <t>Đồng bộ @DisplayName</t>
        </is>
      </c>
      <c r="D32" s="13" t="inlineStr">
        <is>
          <t>Cập nhật @DisplayName trong mọi test class khớp 100% với mã test case Excel</t>
        </is>
      </c>
      <c r="E32" s="10" t="inlineStr">
        <is>
          <t>TV1</t>
        </is>
      </c>
      <c r="F32" s="10" t="inlineStr">
        <is>
          <t>Cả nhóm</t>
        </is>
      </c>
      <c r="G32" s="13" t="inlineStr">
        <is>
          <t>Toàn bộ file test trong src/test/java/</t>
        </is>
      </c>
      <c r="H32" s="7" t="inlineStr">
        <is>
          <t>Cao</t>
        </is>
      </c>
      <c r="I32" s="21" t="inlineStr">
        <is>
          <t>Chưa bắt đầu</t>
        </is>
      </c>
      <c r="J32" s="13" t="inlineStr">
        <is>
          <t>Mã TC trong @DisplayName phải tra cứu được sang Ma trận truy vết</t>
        </is>
      </c>
    </row>
    <row r="33">
      <c r="A33" s="7" t="inlineStr">
        <is>
          <t>TASK-30</t>
        </is>
      </c>
      <c r="B33" s="9" t="inlineStr">
        <is>
          <t>NV5: Tự động hóa JUnit 5</t>
        </is>
      </c>
      <c r="C33" s="9" t="inlineStr">
        <is>
          <t>Điểm Bonus (Tùy chọn)</t>
        </is>
      </c>
      <c r="D33" s="9" t="inlineStr">
        <is>
          <t>Cấu hình GitHub Actions / TestWatcher tự chụp màn hình khi FAIL / Data-driven CSV</t>
        </is>
      </c>
      <c r="E33" s="6" t="inlineStr">
        <is>
          <t>TV1</t>
        </is>
      </c>
      <c r="F33" s="6" t="inlineStr">
        <is>
          <t>TV5</t>
        </is>
      </c>
      <c r="G33" s="9" t="inlineStr">
        <is>
          <t>File .github/workflows/ci.yml hoặc TestWatcher code</t>
        </is>
      </c>
      <c r="H33" s="6" t="inlineStr">
        <is>
          <t>Thấp</t>
        </is>
      </c>
      <c r="I33" s="21" t="inlineStr">
        <is>
          <t>Chưa bắt đầu</t>
        </is>
      </c>
      <c r="J33" s="9" t="inlineStr">
        <is>
          <t>Chạy CI tự động lưu artifact surefire-reports</t>
        </is>
      </c>
    </row>
    <row r="34">
      <c r="A34" s="11" t="inlineStr">
        <is>
          <t>TASK-31</t>
        </is>
      </c>
      <c r="B34" s="13" t="inlineStr">
        <is>
          <t>Đóng gói &amp; Nghiệm thu</t>
        </is>
      </c>
      <c r="C34" s="13" t="inlineStr">
        <is>
          <t>File Excel Test Cases</t>
        </is>
      </c>
      <c r="D34" s="13" t="inlineStr">
        <is>
          <t>Kiểm tra, hoàn thiện file 'test-cases.xlsx' (đủ 5 sheets, công thức chuẩn, format đẹp)</t>
        </is>
      </c>
      <c r="E34" s="10" t="inlineStr">
        <is>
          <t>TV5</t>
        </is>
      </c>
      <c r="F34" s="10" t="inlineStr">
        <is>
          <t>TV1</t>
        </is>
      </c>
      <c r="G34" s="13" t="inlineStr">
        <is>
          <t>File test-cases.xlsx hoàn chỉnh</t>
        </is>
      </c>
      <c r="H34" s="7" t="inlineStr">
        <is>
          <t>Cao</t>
        </is>
      </c>
      <c r="I34" s="21" t="inlineStr">
        <is>
          <t>Chưa bắt đầu</t>
        </is>
      </c>
      <c r="J34" s="13" t="inlineStr">
        <is>
          <t>Đủ 5 sheet: Requirements, Traceability, TestCases, Execution, Bugs</t>
        </is>
      </c>
    </row>
    <row r="35">
      <c r="A35" s="7" t="inlineStr">
        <is>
          <t>TASK-32</t>
        </is>
      </c>
      <c r="B35" s="9" t="inlineStr">
        <is>
          <t>Đóng gói &amp; Nghiệm thu</t>
        </is>
      </c>
      <c r="C35" s="9" t="inlineStr">
        <is>
          <t>Báo cáo tổng hợp (PDF)</t>
        </is>
      </c>
      <c r="D35" s="9" t="inlineStr">
        <is>
          <t>Biên soạn file LaTeX 'Assignment_report.tex' -&gt; xuất ra 'report.pdf' (đủ NV1..NV5)</t>
        </is>
      </c>
      <c r="E35" s="6" t="inlineStr">
        <is>
          <t>TV1</t>
        </is>
      </c>
      <c r="F35" s="6" t="inlineStr">
        <is>
          <t>Cả nhóm</t>
        </is>
      </c>
      <c r="G35" s="9" t="inlineStr">
        <is>
          <t>File report.pdf hoàn chỉnh</t>
        </is>
      </c>
      <c r="H35" s="7" t="inlineStr">
        <is>
          <t>Cao</t>
        </is>
      </c>
      <c r="I35" s="21" t="inlineStr">
        <is>
          <t>Chưa bắt đầu</t>
        </is>
      </c>
      <c r="J35" s="9" t="inlineStr">
        <is>
          <t>Đúng định dạng SGU, đủ ảnh minh họa, bảng biểu, giải thích</t>
        </is>
      </c>
    </row>
    <row r="36">
      <c r="A36" s="11" t="inlineStr">
        <is>
          <t>TASK-33</t>
        </is>
      </c>
      <c r="B36" s="13" t="inlineStr">
        <is>
          <t>Đóng gói &amp; Nghiệm thu</t>
        </is>
      </c>
      <c r="C36" s="13" t="inlineStr">
        <is>
          <t>Kiểm tra trước khi nộp</t>
        </is>
      </c>
      <c r="D36" s="13" t="inlineStr">
        <is>
          <t>Chạy checklist mục 9: mvn clean test từ folder giải nén, kiểm tra Thread.sleep, xóa target/</t>
        </is>
      </c>
      <c r="E36" s="10" t="inlineStr">
        <is>
          <t>Cả nhóm</t>
        </is>
      </c>
      <c r="F36" s="10" t="inlineStr">
        <is>
          <t>TV1</t>
        </is>
      </c>
      <c r="G36" s="13" t="inlineStr">
        <is>
          <t>Thư mục group-XX-assignment1.zip sẵn sàng nộp</t>
        </is>
      </c>
      <c r="H36" s="7" t="inlineStr">
        <is>
          <t>Cao</t>
        </is>
      </c>
      <c r="I36" s="21" t="inlineStr">
        <is>
          <t>Chưa bắt đầu</t>
        </is>
      </c>
      <c r="J36" s="13" t="inlineStr">
        <is>
          <t>Pass 100% các tiêu chí trong mục 9 của đề bài</t>
        </is>
      </c>
    </row>
  </sheetData>
  <dataValidations count="2">
    <dataValidation sqref="I4:I36" showDropDown="0" showInputMessage="0" showErrorMessage="0" allowBlank="1" type="list">
      <formula1>"Chưa bắt đầu,Đang thực hiện,Cần review,Đã hoàn thành"</formula1>
    </dataValidation>
    <dataValidation sqref="H4:H36" showDropDown="0" showInputMessage="0" showErrorMessage="0" allowBlank="1" type="list">
      <formula1>"Cao,Trung bình,Thấp"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7" customWidth="1" min="2" max="2"/>
    <col width="48" customWidth="1" min="3" max="3"/>
    <col width="36" customWidth="1" min="4" max="4"/>
    <col width="16" customWidth="1" min="5" max="5"/>
  </cols>
  <sheetData>
    <row r="1">
      <c r="A1" s="1" t="inlineStr">
        <is>
          <t>BẢNG DANH MỤC CÔNG VIỆC THEO TỪNG THÀNH VIÊN</t>
        </is>
      </c>
    </row>
    <row r="2">
      <c r="A2" s="2" t="inlineStr">
        <is>
          <t>Mỗi thành viên theo dõi trực tiếp các đầu việc, sản phẩm cần bàn giao và trạng thái</t>
        </is>
      </c>
    </row>
    <row r="3"/>
    <row r="4">
      <c r="A4" s="4" t="inlineStr">
        <is>
          <t>THÀNH VIÊN 1 (Nhóm trưởng / Test Lead &amp; Core Automation)</t>
        </is>
      </c>
    </row>
    <row r="5">
      <c r="A5" s="14" t="inlineStr">
        <is>
          <t>Mã Task</t>
        </is>
      </c>
      <c r="B5" s="14" t="inlineStr">
        <is>
          <t>Nhiệm vụ</t>
        </is>
      </c>
      <c r="C5" s="14" t="inlineStr">
        <is>
          <t>Mô tả công việc</t>
        </is>
      </c>
      <c r="D5" s="14" t="inlineStr">
        <is>
          <t>Sản phẩm bàn giao</t>
        </is>
      </c>
      <c r="E5" s="14" t="inlineStr">
        <is>
          <t>Trạng thái</t>
        </is>
      </c>
    </row>
    <row r="6">
      <c r="A6" s="11" t="inlineStr">
        <is>
          <t>TASK-01</t>
        </is>
      </c>
      <c r="B6" s="13" t="inlineStr">
        <is>
          <t>NV1: Khởi tạo &amp; Mã mẫu</t>
        </is>
      </c>
      <c r="C6" s="13" t="inlineStr">
        <is>
          <t>Chạy 'mvn clean test', kiểm tra Chrome/Firefox headless</t>
        </is>
      </c>
      <c r="D6" s="13" t="inlineStr">
        <is>
          <t>Terminal log BUILD SUCCESS</t>
        </is>
      </c>
      <c r="E6" s="22" t="inlineStr">
        <is>
          <t>Đã hoàn thành</t>
        </is>
      </c>
    </row>
    <row r="7">
      <c r="A7" s="7" t="inlineStr">
        <is>
          <t>TASK-02</t>
        </is>
      </c>
      <c r="B7" s="9" t="inlineStr">
        <is>
          <t>NV1: Khởi tạo &amp; Mã mẫu</t>
        </is>
      </c>
      <c r="C7" s="9" t="inlineStr">
        <is>
          <t>Bổ sung test case mới vào 'login-data.csv' (chuỗi rỗng "")</t>
        </is>
      </c>
      <c r="D7" s="9" t="inlineStr">
        <is>
          <t>login-data.csv cập nhật</t>
        </is>
      </c>
      <c r="E7" s="22" t="inlineStr">
        <is>
          <t>Đã hoàn thành</t>
        </is>
      </c>
    </row>
    <row r="8">
      <c r="A8" s="11" t="inlineStr">
        <is>
          <t>TASK-03</t>
        </is>
      </c>
      <c r="B8" s="13" t="inlineStr">
        <is>
          <t>NV1: Khởi tạo &amp; Mã mẫu</t>
        </is>
      </c>
      <c r="C8" s="13" t="inlineStr">
        <is>
          <t>Viết giải thích @BeforeEach, @ParameterizedTest, @CsvFileSource</t>
        </is>
      </c>
      <c r="D8" s="13" t="inlineStr">
        <is>
          <t>Mục NV1 trong Báo cáo</t>
        </is>
      </c>
      <c r="E8" s="21" t="inlineStr">
        <is>
          <t>Chưa bắt đầu</t>
        </is>
      </c>
    </row>
    <row r="9">
      <c r="A9" s="7" t="inlineStr">
        <is>
          <t>TASK-04</t>
        </is>
      </c>
      <c r="B9" s="9" t="inlineStr">
        <is>
          <t>NV2: Phân tích yêu cầu</t>
        </is>
      </c>
      <c r="C9" s="9" t="inlineStr">
        <is>
          <t>Viết đặc tả FR-01: quy tắc kiểm tra, 4 lỗi, URL</t>
        </is>
      </c>
      <c r="D9" s="9" t="inlineStr">
        <is>
          <t>Bản đặc tả FR-01</t>
        </is>
      </c>
      <c r="E9" s="21" t="inlineStr">
        <is>
          <t>Chưa bắt đầu</t>
        </is>
      </c>
    </row>
    <row r="10">
      <c r="A10" s="11" t="inlineStr">
        <is>
          <t>TASK-09</t>
        </is>
      </c>
      <c r="B10" s="13" t="inlineStr">
        <is>
          <t>NV2: Phân tích yêu cầu</t>
        </is>
      </c>
      <c r="C10" s="13" t="inlineStr">
        <is>
          <t>Chấm điểm rủi ro R = P x I cho FR-01..04; Lập khung Ma trận truy vết</t>
        </is>
      </c>
      <c r="D10" s="13" t="inlineStr">
        <is>
          <t>Bảng rủi ro &amp; Traceability</t>
        </is>
      </c>
      <c r="E10" s="21" t="inlineStr">
        <is>
          <t>Chưa bắt đầu</t>
        </is>
      </c>
    </row>
    <row r="11">
      <c r="A11" s="7" t="inlineStr">
        <is>
          <t>TASK-10</t>
        </is>
      </c>
      <c r="B11" s="9" t="inlineStr">
        <is>
          <t>NV3: Thiết kế test case</t>
        </is>
      </c>
      <c r="C11" s="9" t="inlineStr">
        <is>
          <t>Thiết kế EP: trường Username (5 TC) + Password (3+ TC)</t>
        </is>
      </c>
      <c r="D11" s="9" t="inlineStr">
        <is>
          <t>Bảng EP + Đặc tả TC chi tiết</t>
        </is>
      </c>
      <c r="E11" s="21" t="inlineStr">
        <is>
          <t>Chưa bắt đầu</t>
        </is>
      </c>
    </row>
    <row r="12">
      <c r="A12" s="11" t="inlineStr">
        <is>
          <t>TASK-17</t>
        </is>
      </c>
      <c r="B12" s="13" t="inlineStr">
        <is>
          <t>NV4: Thực thi thủ công</t>
        </is>
      </c>
      <c r="C12" s="13" t="inlineStr">
        <is>
          <t>Chạy test thủ công FR-01, ghi log PASS/FAIL</t>
        </is>
      </c>
      <c r="D12" s="13" t="inlineStr">
        <is>
          <t>Sheet Execution (phần FR-01)</t>
        </is>
      </c>
      <c r="E12" s="21" t="inlineStr">
        <is>
          <t>Chưa bắt đầu</t>
        </is>
      </c>
    </row>
    <row r="13">
      <c r="A13" s="7" t="inlineStr">
        <is>
          <t>TASK-24</t>
        </is>
      </c>
      <c r="B13" s="9" t="inlineStr">
        <is>
          <t>NV5: Tự động hóa JUnit 5</t>
        </is>
      </c>
      <c r="C13" s="9" t="inlineStr">
        <is>
          <t>Hoàn thiện 'tests/LoginTest.java' (@ParameterizedTest, @CsvFileSource)</t>
        </is>
      </c>
      <c r="D13" s="9" t="inlineStr">
        <is>
          <t>Mã nguồn LoginTest.java</t>
        </is>
      </c>
      <c r="E13" s="21" t="inlineStr">
        <is>
          <t>Chưa bắt đầu</t>
        </is>
      </c>
    </row>
    <row r="14">
      <c r="A14" s="11" t="inlineStr">
        <is>
          <t>TASK-29</t>
        </is>
      </c>
      <c r="B14" s="13" t="inlineStr">
        <is>
          <t>NV5: Tự động hóa JUnit 5</t>
        </is>
      </c>
      <c r="C14" s="13" t="inlineStr">
        <is>
          <t>Cập nhật @DisplayName trong mọi test class khớp 100% với Excel</t>
        </is>
      </c>
      <c r="D14" s="13" t="inlineStr">
        <is>
          <t>Các file test trong src/test/</t>
        </is>
      </c>
      <c r="E14" s="21" t="inlineStr">
        <is>
          <t>Chưa bắt đầu</t>
        </is>
      </c>
    </row>
    <row r="15">
      <c r="A15" s="7" t="inlineStr">
        <is>
          <t>TASK-30</t>
        </is>
      </c>
      <c r="B15" s="9" t="inlineStr">
        <is>
          <t>NV5: Tự động hóa JUnit 5</t>
        </is>
      </c>
      <c r="C15" s="9" t="inlineStr">
        <is>
          <t>Cấu hình Bonus: GitHub Actions / TestWatcher chụp ảnh khi FAIL</t>
        </is>
      </c>
      <c r="D15" s="9" t="inlineStr">
        <is>
          <t>Workflow CI / TestWatcher</t>
        </is>
      </c>
      <c r="E15" s="21" t="inlineStr">
        <is>
          <t>Chưa bắt đầu</t>
        </is>
      </c>
    </row>
    <row r="16">
      <c r="A16" s="11" t="inlineStr">
        <is>
          <t>TASK-32</t>
        </is>
      </c>
      <c r="B16" s="13" t="inlineStr">
        <is>
          <t>Đóng gói &amp; Nghiệm thu</t>
        </is>
      </c>
      <c r="C16" s="13" t="inlineStr">
        <is>
          <t>Tổng hợp và biên soạn file LaTeX xuất ra 'report.pdf' (NV1..NV5)</t>
        </is>
      </c>
      <c r="D16" s="13" t="inlineStr">
        <is>
          <t>File report.pdf hoàn chỉnh</t>
        </is>
      </c>
      <c r="E16" s="21" t="inlineStr">
        <is>
          <t>Chưa bắt đầu</t>
        </is>
      </c>
    </row>
    <row r="17"/>
    <row r="18">
      <c r="A18" s="4" t="inlineStr">
        <is>
          <t>THÀNH VIÊN 2 (QA &amp; Automation: Cart &amp; Inventory)</t>
        </is>
      </c>
    </row>
    <row r="19">
      <c r="A19" s="14" t="inlineStr">
        <is>
          <t>Mã Task</t>
        </is>
      </c>
      <c r="B19" s="14" t="inlineStr">
        <is>
          <t>Nhiệm vụ</t>
        </is>
      </c>
      <c r="C19" s="14" t="inlineStr">
        <is>
          <t>Mô tả công việc</t>
        </is>
      </c>
      <c r="D19" s="14" t="inlineStr">
        <is>
          <t>Sản phẩm bàn giao</t>
        </is>
      </c>
      <c r="E19" s="14" t="inlineStr">
        <is>
          <t>Trạng thái</t>
        </is>
      </c>
    </row>
    <row r="20">
      <c r="A20" s="11" t="inlineStr">
        <is>
          <t>TASK-05</t>
        </is>
      </c>
      <c r="B20" s="13" t="inlineStr">
        <is>
          <t>NV2: Phân tích yêu cầu</t>
        </is>
      </c>
      <c r="C20" s="13" t="inlineStr">
        <is>
          <t>Viết đặc tả FR-02: trạng thái nút Add/Remove, số lượng badge (1-6) và giỏ rỗng</t>
        </is>
      </c>
      <c r="D20" s="13" t="inlineStr">
        <is>
          <t>Bản đặc tả FR-02</t>
        </is>
      </c>
      <c r="E20" s="21" t="inlineStr">
        <is>
          <t>Chưa bắt đầu</t>
        </is>
      </c>
    </row>
    <row r="21">
      <c r="A21" s="7" t="inlineStr">
        <is>
          <t>TASK-11</t>
        </is>
      </c>
      <c r="B21" s="9" t="inlineStr">
        <is>
          <t>NV3: Thiết kế test case</t>
        </is>
      </c>
      <c r="C21" s="9" t="inlineStr">
        <is>
          <t>Thiết kế BVA: số SP giỏ hàng [0,6] (TC-CART-B1..B5) + EP số lượng</t>
        </is>
      </c>
      <c r="D21" s="9" t="inlineStr">
        <is>
          <t>Bảng BVA + Đặc tả TC chi tiết</t>
        </is>
      </c>
      <c r="E21" s="21" t="inlineStr">
        <is>
          <t>Chưa bắt đầu</t>
        </is>
      </c>
    </row>
    <row r="22">
      <c r="A22" s="11" t="inlineStr">
        <is>
          <t>TASK-17</t>
        </is>
      </c>
      <c r="B22" s="13" t="inlineStr">
        <is>
          <t>NV4: Thực thi thủ công</t>
        </is>
      </c>
      <c r="C22" s="13" t="inlineStr">
        <is>
          <t>Chạy test thủ công FR-02 trên web, ghi log PASS/FAIL/BLOCKED</t>
        </is>
      </c>
      <c r="D22" s="13" t="inlineStr">
        <is>
          <t>Sheet Execution (phần FR-02)</t>
        </is>
      </c>
      <c r="E22" s="21" t="inlineStr">
        <is>
          <t>Chưa bắt đầu</t>
        </is>
      </c>
    </row>
    <row r="23">
      <c r="A23" s="7" t="inlineStr">
        <is>
          <t>TASK-22</t>
        </is>
      </c>
      <c r="B23" s="9" t="inlineStr">
        <is>
          <t>NV5: Tự động hóa JUnit 5</t>
        </is>
      </c>
      <c r="C23" s="9" t="inlineStr">
        <is>
          <t>Lập trình 'pages/InventoryPage.java' (add/remove, badge, sort, read list)</t>
        </is>
      </c>
      <c r="D23" s="9" t="inlineStr">
        <is>
          <t>InventoryPage.java</t>
        </is>
      </c>
      <c r="E23" s="21" t="inlineStr">
        <is>
          <t>Chưa bắt đầu</t>
        </is>
      </c>
    </row>
    <row r="24">
      <c r="A24" s="11" t="inlineStr">
        <is>
          <t>TASK-25</t>
        </is>
      </c>
      <c r="B24" s="13" t="inlineStr">
        <is>
          <t>NV5: Tự động hóa JUnit 5</t>
        </is>
      </c>
      <c r="C24" s="13" t="inlineStr">
        <is>
          <t>Viết 'tests/CartTest.java' kiểm thử các giá trị biên của giỏ hàng</t>
        </is>
      </c>
      <c r="D24" s="13" t="inlineStr">
        <is>
          <t>CartTest.java</t>
        </is>
      </c>
      <c r="E24" s="21" t="inlineStr">
        <is>
          <t>Chưa bắt đầu</t>
        </is>
      </c>
    </row>
    <row r="25"/>
    <row r="26">
      <c r="A26" s="4" t="inlineStr">
        <is>
          <t>THÀNH VIÊN 3 (QA &amp; Automation: Checkout Flow - Use Case)</t>
        </is>
      </c>
    </row>
    <row r="27">
      <c r="A27" s="14" t="inlineStr">
        <is>
          <t>Mã Task</t>
        </is>
      </c>
      <c r="B27" s="14" t="inlineStr">
        <is>
          <t>Nhiệm vụ</t>
        </is>
      </c>
      <c r="C27" s="14" t="inlineStr">
        <is>
          <t>Mô tả công việc</t>
        </is>
      </c>
      <c r="D27" s="14" t="inlineStr">
        <is>
          <t>Sản phẩm bàn giao</t>
        </is>
      </c>
      <c r="E27" s="14" t="inlineStr">
        <is>
          <t>Trạng thái</t>
        </is>
      </c>
    </row>
    <row r="28">
      <c r="A28" s="11" t="inlineStr">
        <is>
          <t>TASK-06</t>
        </is>
      </c>
      <c r="B28" s="13" t="inlineStr">
        <is>
          <t>NV2: Phân tích yêu cầu</t>
        </is>
      </c>
      <c r="C28" s="13" t="inlineStr">
        <is>
          <t>Viết đặc tả FR-03: thứ tự validate form, công thức Tax (8%), Total, Cancel</t>
        </is>
      </c>
      <c r="D28" s="13" t="inlineStr">
        <is>
          <t>Bản đặc tả FR-03</t>
        </is>
      </c>
      <c r="E28" s="21" t="inlineStr">
        <is>
          <t>Chưa bắt đầu</t>
        </is>
      </c>
    </row>
    <row r="29">
      <c r="A29" s="7" t="inlineStr">
        <is>
          <t>TASK-13</t>
        </is>
      </c>
      <c r="B29" s="9" t="inlineStr">
        <is>
          <t>NV3: Thiết kế test case</t>
        </is>
      </c>
      <c r="C29" s="9" t="inlineStr">
        <is>
          <t>Vẽ sơ đồ hoạt động &amp; thiết kế kịch bản UC1 'Thanh toán đơn hàng' (TC-CHK-01..05)</t>
        </is>
      </c>
      <c r="D29" s="9" t="inlineStr">
        <is>
          <t>Sơ đồ UC1 + 5 kịch bản TC</t>
        </is>
      </c>
      <c r="E29" s="21" t="inlineStr">
        <is>
          <t>Chưa bắt đầu</t>
        </is>
      </c>
    </row>
    <row r="30">
      <c r="A30" s="11" t="inlineStr">
        <is>
          <t>TASK-18</t>
        </is>
      </c>
      <c r="B30" s="13" t="inlineStr">
        <is>
          <t>NV4: Thực thi thủ công</t>
        </is>
      </c>
      <c r="C30" s="13" t="inlineStr">
        <is>
          <t>Chạy test thủ công kịch bản thanh toán TC-CHK-01..05</t>
        </is>
      </c>
      <c r="D30" s="13" t="inlineStr">
        <is>
          <t>Sheet Execution (phần UC1)</t>
        </is>
      </c>
      <c r="E30" s="21" t="inlineStr">
        <is>
          <t>Chưa bắt đầu</t>
        </is>
      </c>
    </row>
    <row r="31">
      <c r="A31" s="7" t="inlineStr">
        <is>
          <t>TASK-23</t>
        </is>
      </c>
      <c r="B31" s="9" t="inlineStr">
        <is>
          <t>NV5: Tự động hóa JUnit 5</t>
        </is>
      </c>
      <c r="C31" s="9" t="inlineStr">
        <is>
          <t>Lập trình 'pages/CartPage.java' và 'pages/CheckoutPage.java'</t>
        </is>
      </c>
      <c r="D31" s="9" t="inlineStr">
        <is>
          <t>CartPage.java &amp; CheckoutPage.java</t>
        </is>
      </c>
      <c r="E31" s="21" t="inlineStr">
        <is>
          <t>Chưa bắt đầu</t>
        </is>
      </c>
    </row>
    <row r="32">
      <c r="A32" s="11" t="inlineStr">
        <is>
          <t>TASK-26</t>
        </is>
      </c>
      <c r="B32" s="13" t="inlineStr">
        <is>
          <t>NV5: Tự động hóa JUnit 5</t>
        </is>
      </c>
      <c r="C32" s="13" t="inlineStr">
        <is>
          <t>Viết 'tests/CheckoutTest.java': TC-CHK-01 và TC-CHK-02..04 (@CsvSource)</t>
        </is>
      </c>
      <c r="D32" s="13" t="inlineStr">
        <is>
          <t>CheckoutTest.java</t>
        </is>
      </c>
      <c r="E32" s="21" t="inlineStr">
        <is>
          <t>Chưa bắt đầu</t>
        </is>
      </c>
    </row>
    <row r="33"/>
    <row r="34">
      <c r="A34" s="4" t="inlineStr">
        <is>
          <t>THÀNH VIÊN 4 (QA &amp; Automation: Checkout Math &amp; Sort)</t>
        </is>
      </c>
    </row>
    <row r="35">
      <c r="A35" s="14" t="inlineStr">
        <is>
          <t>Mã Task</t>
        </is>
      </c>
      <c r="B35" s="14" t="inlineStr">
        <is>
          <t>Nhiệm vụ</t>
        </is>
      </c>
      <c r="C35" s="14" t="inlineStr">
        <is>
          <t>Mô tả công việc</t>
        </is>
      </c>
      <c r="D35" s="14" t="inlineStr">
        <is>
          <t>Sản phẩm bàn giao</t>
        </is>
      </c>
      <c r="E35" s="14" t="inlineStr">
        <is>
          <t>Trạng thái</t>
        </is>
      </c>
    </row>
    <row r="36">
      <c r="A36" s="11" t="inlineStr">
        <is>
          <t>TASK-07</t>
        </is>
      </c>
      <c r="B36" s="13" t="inlineStr">
        <is>
          <t>NV2: Phân tích yêu cầu</t>
        </is>
      </c>
      <c r="C36" s="13" t="inlineStr">
        <is>
          <t>Viết đặc tả FR-04: 4 tiêu chí sắp xếp (A-Z, Z-A, Price low-high, high-low)</t>
        </is>
      </c>
      <c r="D36" s="13" t="inlineStr">
        <is>
          <t>Bản đặc tả FR-04</t>
        </is>
      </c>
      <c r="E36" s="21" t="inlineStr">
        <is>
          <t>Chưa bắt đầu</t>
        </is>
      </c>
    </row>
    <row r="37">
      <c r="A37" s="7" t="inlineStr">
        <is>
          <t>TASK-12</t>
        </is>
      </c>
      <c r="B37" s="9" t="inlineStr">
        <is>
          <t>NV3: Thiết kế test case</t>
        </is>
      </c>
      <c r="C37" s="9" t="inlineStr">
        <is>
          <t>Thiết kế Decision Table: form thanh toán FR-03 (First/Last/Postal rỗng) + BVA thuế</t>
        </is>
      </c>
      <c r="D37" s="9" t="inlineStr">
        <is>
          <t>Bảng DT thanh toán + BVA thuế</t>
        </is>
      </c>
      <c r="E37" s="21" t="inlineStr">
        <is>
          <t>Chưa bắt đầu</t>
        </is>
      </c>
    </row>
    <row r="38">
      <c r="A38" s="11" t="inlineStr">
        <is>
          <t>TASK-18</t>
        </is>
      </c>
      <c r="B38" s="13" t="inlineStr">
        <is>
          <t>NV4: Thực thi thủ công</t>
        </is>
      </c>
      <c r="C38" s="13" t="inlineStr">
        <is>
          <t>Chạy test thủ công FR-04 (sắp xếp 4 kiểu) và xác thực tính toán giá trị thuế</t>
        </is>
      </c>
      <c r="D38" s="13" t="inlineStr">
        <is>
          <t>Sheet Execution (phần Sort/Math)</t>
        </is>
      </c>
      <c r="E38" s="21" t="inlineStr">
        <is>
          <t>Chưa bắt đầu</t>
        </is>
      </c>
    </row>
    <row r="39">
      <c r="A39" s="7" t="inlineStr">
        <is>
          <t>TASK-20</t>
        </is>
      </c>
      <c r="B39" s="9" t="inlineStr">
        <is>
          <t>NV4: Thực thi thủ công</t>
        </is>
      </c>
      <c r="C39" s="9" t="inlineStr">
        <is>
          <t>Đăng nhập problem_user, chạy lại TC-CHK-01 và giỏ hàng để tìm bug hệ thống</t>
        </is>
      </c>
      <c r="D39" s="9" t="inlineStr">
        <is>
          <t>Danh sách bug giao diện/chức năng</t>
        </is>
      </c>
      <c r="E39" s="21" t="inlineStr">
        <is>
          <t>Chưa bắt đầu</t>
        </is>
      </c>
    </row>
    <row r="40">
      <c r="A40" s="11" t="inlineStr">
        <is>
          <t>TASK-27</t>
        </is>
      </c>
      <c r="B40" s="13" t="inlineStr">
        <is>
          <t>NV5: Tự động hóa JUnit 5</t>
        </is>
      </c>
      <c r="C40" s="13" t="inlineStr">
        <is>
          <t>Viết 'tests/SortTest.java': 4 kiểu sắp xếp, dùng Comparator so sánh động</t>
        </is>
      </c>
      <c r="D40" s="13" t="inlineStr">
        <is>
          <t>SortTest.java</t>
        </is>
      </c>
      <c r="E40" s="21" t="inlineStr">
        <is>
          <t>Chưa bắt đầu</t>
        </is>
      </c>
    </row>
    <row r="41"/>
    <row r="42">
      <c r="A42" s="4" t="inlineStr">
        <is>
          <t>THÀNH VIÊN 5 (QA Specialist &amp; NFR Performance - Excel Lead)</t>
        </is>
      </c>
    </row>
    <row r="43">
      <c r="A43" s="14" t="inlineStr">
        <is>
          <t>Mã Task</t>
        </is>
      </c>
      <c r="B43" s="14" t="inlineStr">
        <is>
          <t>Nhiệm vụ</t>
        </is>
      </c>
      <c r="C43" s="14" t="inlineStr">
        <is>
          <t>Mô tả công việc</t>
        </is>
      </c>
      <c r="D43" s="14" t="inlineStr">
        <is>
          <t>Sản phẩm bàn giao</t>
        </is>
      </c>
      <c r="E43" s="14" t="inlineStr">
        <is>
          <t>Trạng thái</t>
        </is>
      </c>
    </row>
    <row r="44">
      <c r="A44" s="11" t="inlineStr">
        <is>
          <t>TASK-08</t>
        </is>
      </c>
      <c r="B44" s="13" t="inlineStr">
        <is>
          <t>NV2: Phân tích yêu cầu</t>
        </is>
      </c>
      <c r="C44" s="13" t="inlineStr">
        <is>
          <t>Viết đặc tả NFR-01: thời gian hiển thị trang SP &lt;= 3s (trung vị 5 lần đo)</t>
        </is>
      </c>
      <c r="D44" s="13" t="inlineStr">
        <is>
          <t>Bản đặc tả NFR-01</t>
        </is>
      </c>
      <c r="E44" s="21" t="inlineStr">
        <is>
          <t>Chưa bắt đầu</t>
        </is>
      </c>
    </row>
    <row r="45">
      <c r="A45" s="7" t="inlineStr">
        <is>
          <t>TASK-14</t>
        </is>
      </c>
      <c r="B45" s="9" t="inlineStr">
        <is>
          <t>NV3: Thiết kế test case</t>
        </is>
      </c>
      <c r="C45" s="9" t="inlineStr">
        <is>
          <t>Vẽ sơ đồ hoạt động &amp; kịch bản UC2 'Quản lý giỏ hàng' (&gt;= 3 kịch bản)</t>
        </is>
      </c>
      <c r="D45" s="9" t="inlineStr">
        <is>
          <t>Sơ đồ UC2 + kịch bản test case</t>
        </is>
      </c>
      <c r="E45" s="21" t="inlineStr">
        <is>
          <t>Chưa bắt đầu</t>
        </is>
      </c>
    </row>
    <row r="46">
      <c r="A46" s="11" t="inlineStr">
        <is>
          <t>TASK-15</t>
        </is>
      </c>
      <c r="B46" s="13" t="inlineStr">
        <is>
          <t>NV3: Thiết kế test case</t>
        </is>
      </c>
      <c r="C46" s="13" t="inlineStr">
        <is>
          <t>Thiết kế test case đo hiệu năng đăng nhập với 'performance_glitch_user'</t>
        </is>
      </c>
      <c r="D46" s="13" t="inlineStr">
        <is>
          <t>Đặc tả test case TC-NFR-01</t>
        </is>
      </c>
      <c r="E46" s="21" t="inlineStr">
        <is>
          <t>Chưa bắt đầu</t>
        </is>
      </c>
    </row>
    <row r="47">
      <c r="A47" s="7" t="inlineStr">
        <is>
          <t>TASK-16</t>
        </is>
      </c>
      <c r="B47" s="9" t="inlineStr">
        <is>
          <t>NV3: Thiết kế test case</t>
        </is>
      </c>
      <c r="C47" s="9" t="inlineStr">
        <is>
          <t>Tập hợp toàn bộ test case (&gt;= 33 TC) vào sheet 'TestCases' của test-cases.xlsx</t>
        </is>
      </c>
      <c r="D47" s="9" t="inlineStr">
        <is>
          <t>Sheet 'TestCases' đầy đủ</t>
        </is>
      </c>
      <c r="E47" s="21" t="inlineStr">
        <is>
          <t>Chưa bắt đầu</t>
        </is>
      </c>
    </row>
    <row r="48">
      <c r="A48" s="11" t="inlineStr">
        <is>
          <t>TASK-19</t>
        </is>
      </c>
      <c r="B48" s="13" t="inlineStr">
        <is>
          <t>NV4: Thực thi thủ công</t>
        </is>
      </c>
      <c r="C48" s="13" t="inlineStr">
        <is>
          <t>Thực hiện 5 lần đo thời gian đăng nhập với performance_glitch_user</t>
        </is>
      </c>
      <c r="D48" s="13" t="inlineStr">
        <is>
          <t>Bảng 5 lần đo &amp; tính trung vị</t>
        </is>
      </c>
      <c r="E48" s="21" t="inlineStr">
        <is>
          <t>Chưa bắt đầu</t>
        </is>
      </c>
    </row>
    <row r="49">
      <c r="A49" s="7" t="inlineStr">
        <is>
          <t>TASK-21</t>
        </is>
      </c>
      <c r="B49" s="9" t="inlineStr">
        <is>
          <t>NV4: Báo cáo lỗi (Bugs)</t>
        </is>
      </c>
      <c r="C49" s="9" t="inlineStr">
        <is>
          <t>Viết phiếu báo cáo lỗi chi tiết BUG-01 và thu thập video/ảnh evidence</t>
        </is>
      </c>
      <c r="D49" s="9" t="inlineStr">
        <is>
          <t>Phiếu BUG-01 + video evidence</t>
        </is>
      </c>
      <c r="E49" s="21" t="inlineStr">
        <is>
          <t>Chưa bắt đầu</t>
        </is>
      </c>
    </row>
    <row r="50">
      <c r="A50" s="11" t="inlineStr">
        <is>
          <t>TASK-28</t>
        </is>
      </c>
      <c r="B50" s="13" t="inlineStr">
        <is>
          <t>NV5: Tự động hóa JUnit 5</t>
        </is>
      </c>
      <c r="C50" s="13" t="inlineStr">
        <is>
          <t>Viết 'tests/PerformanceTest.java': đo nanoTime, gắn @Tag("known-bug")</t>
        </is>
      </c>
      <c r="D50" s="13" t="inlineStr">
        <is>
          <t>PerformanceTest.java</t>
        </is>
      </c>
      <c r="E50" s="21" t="inlineStr">
        <is>
          <t>Chưa bắt đầu</t>
        </is>
      </c>
    </row>
    <row r="51">
      <c r="A51" s="7" t="inlineStr">
        <is>
          <t>TASK-31</t>
        </is>
      </c>
      <c r="B51" s="9" t="inlineStr">
        <is>
          <t>Đóng gói &amp; Nghiệm thu</t>
        </is>
      </c>
      <c r="C51" s="9" t="inlineStr">
        <is>
          <t>Hoàn thiện và kiểm tra file 'test-cases.xlsx' (đủ 5 sheets)</t>
        </is>
      </c>
      <c r="D51" s="9" t="inlineStr">
        <is>
          <t>File test-cases.xlsx hoàn chỉnh</t>
        </is>
      </c>
      <c r="E51" s="21" t="inlineStr">
        <is>
          <t>Chưa bắt đầu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48" customWidth="1" min="3" max="3"/>
    <col width="23" customWidth="1" min="4" max="4"/>
    <col width="19" customWidth="1" min="5" max="5"/>
    <col width="48" customWidth="1" min="6" max="6"/>
  </cols>
  <sheetData>
    <row r="1">
      <c r="A1" s="1" t="inlineStr">
        <is>
          <t>CHECKLIST TỰ KIỂM TRA TRƯỚC KHI NỘP BÀI (MỤC 8 &amp; 9 ĐỀ BÀI)</t>
        </is>
      </c>
    </row>
    <row r="2">
      <c r="A2" s="2" t="inlineStr">
        <is>
          <t>Các tiêu chí bắt buộc để không bị trừ điểm theo yêu cầu của giảng viên</t>
        </is>
      </c>
    </row>
    <row r="3">
      <c r="A3" s="5" t="inlineStr">
        <is>
          <t>STT</t>
        </is>
      </c>
      <c r="B3" s="5" t="inlineStr">
        <is>
          <t>Hạng mục kiểm tra</t>
        </is>
      </c>
      <c r="C3" s="5" t="inlineStr">
        <is>
          <t>Mô tả tiêu chí chi tiết</t>
        </is>
      </c>
      <c r="D3" s="5" t="inlineStr">
        <is>
          <t>Người kiểm tra chính</t>
        </is>
      </c>
      <c r="E3" s="5" t="inlineStr">
        <is>
          <t>Kết quả kiểm tra</t>
        </is>
      </c>
      <c r="F3" s="5" t="inlineStr">
        <is>
          <t>Ghi chú lưu ý</t>
        </is>
      </c>
    </row>
    <row r="4">
      <c r="A4" s="11" t="n">
        <v>1</v>
      </c>
      <c r="B4" s="12" t="inlineStr">
        <is>
          <t>Mã nguồn chạy độc lập</t>
        </is>
      </c>
      <c r="C4" s="13" t="inlineStr">
        <is>
          <t>Lệnh 'mvn clean test' chạy được ngay từ thư mục vừa giải nén; chỉ các test có @Tag("known-bug") được phép FAIL</t>
        </is>
      </c>
      <c r="D4" s="10" t="inlineStr">
        <is>
          <t>TV1</t>
        </is>
      </c>
      <c r="E4" s="19" t="inlineStr">
        <is>
          <t>Đạt</t>
        </is>
      </c>
      <c r="F4" s="13" t="inlineStr">
        <is>
          <t>Kiểm tra trên cả máy khác ngoài máy của nhóm</t>
        </is>
      </c>
    </row>
    <row r="5">
      <c r="A5" s="7" t="n">
        <v>2</v>
      </c>
      <c r="B5" s="8" t="inlineStr">
        <is>
          <t>Bao phủ yêu cầu &amp; Gắn BUG</t>
        </is>
      </c>
      <c r="C5" s="9" t="inlineStr">
        <is>
          <t>Mỗi yêu cầu FR/NFR có ít nhất 1 test case; mỗi test case FAIL bắt buộc phải có mã BUG tương ứng trong báo cáo lỗi</t>
        </is>
      </c>
      <c r="D5" s="6" t="inlineStr">
        <is>
          <t>TV5</t>
        </is>
      </c>
      <c r="E5" s="19" t="inlineStr">
        <is>
          <t>Đạt</t>
        </is>
      </c>
      <c r="F5" s="9" t="inlineStr">
        <is>
          <t>Không để sót yêu cầu nào không có test</t>
        </is>
      </c>
    </row>
    <row r="6">
      <c r="A6" s="11" t="n">
        <v>3</v>
      </c>
      <c r="B6" s="12" t="inlineStr">
        <is>
          <t>Tính toán kết quả mong đợi</t>
        </is>
      </c>
      <c r="C6" s="13" t="inlineStr">
        <is>
          <t>Kết quả mong đợi (đặc biệt là tiền và thuế ở FR-03) được tính từ công thức đặc tả (8%), KHÔNG chép từ màn hình</t>
        </is>
      </c>
      <c r="D6" s="10" t="inlineStr">
        <is>
          <t>TV3 &amp; TV4</t>
        </is>
      </c>
      <c r="E6" s="19" t="inlineStr">
        <is>
          <t>Đạt</t>
        </is>
      </c>
      <c r="F6" s="13" t="inlineStr">
        <is>
          <t>29.99 * 8% = 2.3992 -&gt; 2.40; Total = 32.39</t>
        </is>
      </c>
    </row>
    <row r="7">
      <c r="A7" s="7" t="n">
        <v>4</v>
      </c>
      <c r="B7" s="8" t="inlineStr">
        <is>
          <t>Khớp mã định danh 100%</t>
        </is>
      </c>
      <c r="C7" s="9" t="inlineStr">
        <is>
          <t>Mã test case trong Excel (sheet TestCases), trong Báo cáo PDF và trong @DisplayName của code Java phải trùng khớp</t>
        </is>
      </c>
      <c r="D7" s="6" t="inlineStr">
        <is>
          <t>TV1 &amp; TV5</t>
        </is>
      </c>
      <c r="E7" s="19" t="inlineStr">
        <is>
          <t>Đạt</t>
        </is>
      </c>
      <c r="F7" s="9" t="inlineStr">
        <is>
          <t>Ví dụ: TC-CHK-01, TC-LOGIN-EP1, TC-NFR-01...</t>
        </is>
      </c>
    </row>
    <row r="8">
      <c r="A8" s="11" t="n">
        <v>5</v>
      </c>
      <c r="B8" s="12" t="inlineStr">
        <is>
          <t>Tuyệt đối không Thread.sleep</t>
        </is>
      </c>
      <c r="C8" s="13" t="inlineStr">
        <is>
          <t>Không có bất kỳ dòng lệnh Thread.sleep nào trong toàn bộ mã nguồn kiểm thử; chỉ dùng Explicit Wait (WebDriverWait)</t>
        </is>
      </c>
      <c r="D8" s="10" t="inlineStr">
        <is>
          <t>TV2 &amp; TV3</t>
        </is>
      </c>
      <c r="E8" s="19" t="inlineStr">
        <is>
          <t>Đạt</t>
        </is>
      </c>
      <c r="F8" s="13" t="inlineStr">
        <is>
          <t>Vi phạm sẽ bị trừ điểm nặng theo đề bài</t>
        </is>
      </c>
    </row>
    <row r="9">
      <c r="A9" s="7" t="n">
        <v>6</v>
      </c>
      <c r="B9" s="8" t="inlineStr">
        <is>
          <t>Số lượng Test Case tối thiểu</t>
        </is>
      </c>
      <c r="C9" s="9" t="inlineStr">
        <is>
          <t>Đạt tối thiểu: EP &gt;= 8, BVA &gt;= 8, DT &gt;= 8, Use case &gt;= 8 (2 UC, mỗi UC &gt;= 2 luồng phụ), NFR &gt;= 1. Tổng &gt;= 33 TCs</t>
        </is>
      </c>
      <c r="D9" s="6" t="inlineStr">
        <is>
          <t>TV5</t>
        </is>
      </c>
      <c r="E9" s="19" t="inlineStr">
        <is>
          <t>Đạt</t>
        </is>
      </c>
      <c r="F9" s="9" t="inlineStr">
        <is>
          <t>Kiểm tra số lượng dòng trong sheet TestCases</t>
        </is>
      </c>
    </row>
    <row r="10">
      <c r="A10" s="11" t="n">
        <v>7</v>
      </c>
      <c r="B10" s="12" t="inlineStr">
        <is>
          <t>Yêu cầu Test Tự động hóa (NV5)</t>
        </is>
      </c>
      <c r="C10" s="13" t="inlineStr">
        <is>
          <t>Tự động hóa ít nhất 15 test case (gồm đủ TC-CHK-01..05); Ít nhất 3 phương thức @ParameterizedTest từ &gt;= 2 nguồn khác nhau</t>
        </is>
      </c>
      <c r="D10" s="10" t="inlineStr">
        <is>
          <t>TV1 &amp; TV4</t>
        </is>
      </c>
      <c r="E10" s="19" t="inlineStr">
        <is>
          <t>Đạt</t>
        </is>
      </c>
      <c r="F10" s="13" t="inlineStr">
        <is>
          <t>Dùng @CsvFileSource, @CsvSource, @ValueSource</t>
        </is>
      </c>
    </row>
    <row r="11">
      <c r="A11" s="7" t="n">
        <v>8</v>
      </c>
      <c r="B11" s="8" t="inlineStr">
        <is>
          <t>Cấu trúc thư mục nộp bài chuẩn</t>
        </is>
      </c>
      <c r="C11" s="9" t="inlineStr">
        <is>
          <t>Đúng cấu trúc: group-XX-assignment1/ chứa report.pdf, test-cases.xlsx, evidence/, automation/ (KHÔNG nộp target/)</t>
        </is>
      </c>
      <c r="D11" s="6" t="inlineStr">
        <is>
          <t>TV1</t>
        </is>
      </c>
      <c r="E11" s="19" t="inlineStr">
        <is>
          <t>Đạt</t>
        </is>
      </c>
      <c r="F11" s="9" t="inlineStr">
        <is>
          <t>Phải xóa sạch thư mục target/ trước khi nén zip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2026-10-12T06:18:03Z</dcterms:created>
  <dcterms:modified xmlns:dcterms="http://purl.org/dc/terms/" xmlns:xsi="http://www.w3.org/2001/XMLSchema-instance" xsi:type="dcterms:W3CDTF">2026-10-12T06:18:03Z</dcterms:modified>
</cp:coreProperties>
</file>